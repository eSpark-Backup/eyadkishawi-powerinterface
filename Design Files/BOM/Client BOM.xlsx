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yadkishawi-powerinterface\Design Fi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9" i="1" l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<sst xmlns="http://schemas.openxmlformats.org/spreadsheetml/2006/main" count="479" uniqueCount="314">
  <si>
    <t>#</t>
  </si>
  <si>
    <t>Item Type</t>
  </si>
  <si>
    <t>Capacitor</t>
  </si>
  <si>
    <t>Diodes</t>
  </si>
  <si>
    <t>Diode</t>
  </si>
  <si>
    <t>Headers</t>
  </si>
  <si>
    <t>Header</t>
  </si>
  <si>
    <t>Inductors</t>
  </si>
  <si>
    <t>LED</t>
  </si>
  <si>
    <t>Resistor</t>
  </si>
  <si>
    <t>IC</t>
  </si>
  <si>
    <t>MOSFET</t>
  </si>
  <si>
    <t>Designator</t>
  </si>
  <si>
    <t>C1</t>
  </si>
  <si>
    <t>C2, C8, C12, C25, C26, C29, C30, C33</t>
  </si>
  <si>
    <t>C3, C4, C5, C6, C10, C15, C17, C19, C21, C23, C24, C27, C28, C48</t>
  </si>
  <si>
    <t>C7, C43, C47</t>
  </si>
  <si>
    <t>C9</t>
  </si>
  <si>
    <t>C11</t>
  </si>
  <si>
    <t>C13, C37</t>
  </si>
  <si>
    <t>C14</t>
  </si>
  <si>
    <t>C16, C18, C20, C22</t>
  </si>
  <si>
    <t>C31, C32, C38, C39, C40, C46</t>
  </si>
  <si>
    <t>C34</t>
  </si>
  <si>
    <t>C35, C42</t>
  </si>
  <si>
    <t>C36</t>
  </si>
  <si>
    <t>C41</t>
  </si>
  <si>
    <t>C44, C45</t>
  </si>
  <si>
    <t>C49</t>
  </si>
  <si>
    <t>C50</t>
  </si>
  <si>
    <t>D1, D5</t>
  </si>
  <si>
    <t>D2, D3</t>
  </si>
  <si>
    <t>D4</t>
  </si>
  <si>
    <t>D6, D7</t>
  </si>
  <si>
    <t>J3</t>
  </si>
  <si>
    <t>J7</t>
  </si>
  <si>
    <t>J10</t>
  </si>
  <si>
    <t>J13</t>
  </si>
  <si>
    <t>J17</t>
  </si>
  <si>
    <t>J20</t>
  </si>
  <si>
    <t>J43</t>
  </si>
  <si>
    <t>L1</t>
  </si>
  <si>
    <t>L2</t>
  </si>
  <si>
    <t>L3</t>
  </si>
  <si>
    <t>LED1, LED2, LED3</t>
  </si>
  <si>
    <t>Q1, Q3, Q5</t>
  </si>
  <si>
    <t>Q2</t>
  </si>
  <si>
    <t>Q4, Q6, Q7, Q8</t>
  </si>
  <si>
    <t>R1, R4, R5, R6, R12, R13, R16, R26, R31, R36, R37, R38, R41, R46, R51, R56, R59, R60, R100</t>
  </si>
  <si>
    <t>R2, R3, R28, R29, R34, R35</t>
  </si>
  <si>
    <t>R7, R8</t>
  </si>
  <si>
    <t>R10, R11, R17, R18, R19, R20, R21</t>
  </si>
  <si>
    <t>R14</t>
  </si>
  <si>
    <t>R15, R39, R45, R58</t>
  </si>
  <si>
    <t>R22, R23, R24, R25</t>
  </si>
  <si>
    <t>R27, R33</t>
  </si>
  <si>
    <t>R30</t>
  </si>
  <si>
    <t>R32</t>
  </si>
  <si>
    <t>R40</t>
  </si>
  <si>
    <t>R42</t>
  </si>
  <si>
    <t>R43</t>
  </si>
  <si>
    <t>R44</t>
  </si>
  <si>
    <t>R47</t>
  </si>
  <si>
    <t>R48</t>
  </si>
  <si>
    <t>R49</t>
  </si>
  <si>
    <t>R50</t>
  </si>
  <si>
    <t>R52, R54</t>
  </si>
  <si>
    <t>R53</t>
  </si>
  <si>
    <t>R55</t>
  </si>
  <si>
    <t>R57</t>
  </si>
  <si>
    <t>U1</t>
  </si>
  <si>
    <t>U2</t>
  </si>
  <si>
    <t>U3</t>
  </si>
  <si>
    <t>U4, U5</t>
  </si>
  <si>
    <t>U6</t>
  </si>
  <si>
    <t>U7, U8, U9, U10</t>
  </si>
  <si>
    <t>U11</t>
  </si>
  <si>
    <t>U12</t>
  </si>
  <si>
    <t>U13</t>
  </si>
  <si>
    <t>U14</t>
  </si>
  <si>
    <t>Description</t>
  </si>
  <si>
    <t>CAP ALUM 10UF 20% 25V SMD</t>
  </si>
  <si>
    <t>CAP CER 0.1UF 50V X7R 0603</t>
  </si>
  <si>
    <t>CAP CER 0.1UF 16V X7R 0402</t>
  </si>
  <si>
    <t>CAP CER 1UF 25V X5R 0603</t>
  </si>
  <si>
    <t>CAP TANT 22UF 10% 35V 2917</t>
  </si>
  <si>
    <t>CAP CER 0.047UF 50V X8R 0603</t>
  </si>
  <si>
    <t>CAP CER 0.022UF 50V X7R 0603</t>
  </si>
  <si>
    <t>CAP TANT 47UF 10% 25V 2917</t>
  </si>
  <si>
    <t>10V 10uF X5R ±10% 0603 Multilayer Ceramic Capacitors MLCC - SMD/SMT ROHS</t>
  </si>
  <si>
    <t>Multilayer Ceramic Capacitor, 22 uF, 25 V, ± 20%, X5R, 1206 [3216 Metric]</t>
  </si>
  <si>
    <t>CAP CER 10UF 10V X5R 0603</t>
  </si>
  <si>
    <t>CAP CER 4.7UF 16V X5R 0603</t>
  </si>
  <si>
    <t>CAP CER 10UF 50V X5R 1206</t>
  </si>
  <si>
    <t>50V 220pF X7R ±10% 0603 Multilayer Ceramic Capacitors MLCC - SMD/SMT ROHS</t>
  </si>
  <si>
    <t>CAP CER 47UF 50V X7R 2SMD</t>
  </si>
  <si>
    <t>CAP CER 12PF 50V C0G/NP0 0402</t>
  </si>
  <si>
    <t>DIODE GEN PURP 50V 1A SMA</t>
  </si>
  <si>
    <t>DIODE SCHOTTKY 60V 5A SMC</t>
  </si>
  <si>
    <t>Zener Diode, 4.3V V(Z), 6.98%, 0.8W, Silicon, Unidirectional, DO-219AB</t>
  </si>
  <si>
    <t>Diode Schottky Barrier 25V 0.3A 2 SOD-323</t>
  </si>
  <si>
    <t>CONN HEADER VERT 2POS 2.5MM</t>
  </si>
  <si>
    <t>CONN HEADER VERT 4POS 2.5MM</t>
  </si>
  <si>
    <t>CONN HEADER VERT 3POS 2.5MM</t>
  </si>
  <si>
    <t>MINI-FIT JR LCP VERT. HDR PEGS 4</t>
  </si>
  <si>
    <t>Gold 250V 3A Straight Square Pins 2.5mm 6P 260℃ 6mm -40℃~+105℃ 3mm 2.54mm Plugin Black Brass 1x6P Plugin,P=2.54mm Pin Headers ROHS</t>
  </si>
  <si>
    <t>CONN HEADER VERT 6POS 2.5MM</t>
  </si>
  <si>
    <t>FIXED IND 22UH 4A 39.1 MOHM SMD</t>
  </si>
  <si>
    <t>FIXED IND 1.2UH 10.4A 12.4MOHM</t>
  </si>
  <si>
    <t>FIXED IND 3.3UH 4.16A 16MOHM SMD</t>
  </si>
  <si>
    <t>Emerald 0603 Light Emitting Diodes (LED) ROHS</t>
  </si>
  <si>
    <t>MOSFET P-CH 40V 10A 8SOIC</t>
  </si>
  <si>
    <t>45V 310mW 250@100mA,1V 800mA SOT-23 Bipolar (BJT) ROHS</t>
  </si>
  <si>
    <t>Small Signal Bipolar Transistor, 0.6A I(C), 40V V(BR)CEO, 1-Element, NPN, Silicon</t>
  </si>
  <si>
    <t>RES 10K OHM 1% 1/10W 0603</t>
  </si>
  <si>
    <t>RES SMD 100 OHM 1% 1/10W 0603</t>
  </si>
  <si>
    <t>Res Current Sense Metal Strip 2512 0.09 Ohm 1% 2W ±25ppm/°C Molded Emboss T/R</t>
  </si>
  <si>
    <t>RES 0 OHM JUMPER 1/8W 0805</t>
  </si>
  <si>
    <t>RES SMD 10K OHM 0.1% 1/10W 0603</t>
  </si>
  <si>
    <t>RES SMD 1K OHM 1% 1/10W 0603</t>
  </si>
  <si>
    <t>RES 10K OHM 1% 1/16W 0402</t>
  </si>
  <si>
    <t>RES 30K OHM 1% 1/10W 0603</t>
  </si>
  <si>
    <t>RES 15K OHM 1% 1/10W 0603</t>
  </si>
  <si>
    <t>RES 18K OHM 1% 1/10W 0603</t>
  </si>
  <si>
    <t>HCJ Series 0805 Jumper Surface Mount Chip Resistor</t>
  </si>
  <si>
    <t>250mW Thick Film Resistors 200V ±100ppm/℃ ±1% 4.64kΩ 1206 Chip Resistor - Surface Mount ROHS</t>
  </si>
  <si>
    <t>SMD Chip Resistor, 178 kOhm, ± 1%, 63 mW, 0402 [1005 Metric], Thick Film, General Purpose</t>
  </si>
  <si>
    <t>62.5mW Thick Film Resistors ±1% ±200ppm/℃ 732kΩ 0402 Chip Resistor - Surface Mount ROHS</t>
  </si>
  <si>
    <t>62.5mW Thick Film Resistors 75V ±1% ±100ppm/℃ 80.6kΩ 0402 Chip Resistor - Surface Mount ROHS</t>
  </si>
  <si>
    <t>62.5mW Thick Film Resistors 50V ±1% ±200ppm/℃ 174kΩ 0402 Chip Resistor - Surface Mount ROHS</t>
  </si>
  <si>
    <t>62.5mW Thick Film Resistors 50V ±100ppm/℃ ±1% 86.6kΩ 0402 Chip Resistor - Surface Mount ROHS</t>
  </si>
  <si>
    <t>62.5mW Thick Film Resistors 50V ±100ppm/℃ ±1% 133kΩ 0402 Chip Resistor - Surface Mount ROHS</t>
  </si>
  <si>
    <t>100mW Thick Film Resistors 75V ±100ppm/℃ ±1% 1.15kΩ 0603 Chip Resistor - Surface Mount ROHS</t>
  </si>
  <si>
    <t>RES 499K OHM 0.1% 1/16W 0402</t>
  </si>
  <si>
    <t>RES 95.3K OHM 1% 1/16W 0402</t>
  </si>
  <si>
    <t>IC VREF SERIES 0.2% TSOT5</t>
  </si>
  <si>
    <t>Battery Charger Lead-Acid/Li-Ion/NiCD/NiMH 4000mA 18V 20-Pin SSOP</t>
  </si>
  <si>
    <t>20-V, 1-A H-BRIDGE MOTOR DRIVER</t>
  </si>
  <si>
    <t>MOSFET N-CH 30V 11A 8SO</t>
  </si>
  <si>
    <t>IC MCU 8BIT 96KB FLASH 64TQFP</t>
  </si>
  <si>
    <t>IC OPAMP GP 1 CIRCUIT SOT23-6</t>
  </si>
  <si>
    <t>20-V, 10-A fully integrated sync boost with load disconnect 13-VQFN-HR -40 to 85</t>
  </si>
  <si>
    <t>MOSFET P-CH 30V 60A PPAK SO-8</t>
  </si>
  <si>
    <t>LD2981 Series 100 mA 5 V Fixed Output LDO Regulator with Inhibit - SOT-23-5</t>
  </si>
  <si>
    <t>IC REG BUCK ADJ 5A 12DFN</t>
  </si>
  <si>
    <t>Footprint</t>
  </si>
  <si>
    <t>Cap-0603</t>
  </si>
  <si>
    <t>Cap-0402</t>
  </si>
  <si>
    <t>Case-D</t>
  </si>
  <si>
    <t>Cap-1206</t>
  </si>
  <si>
    <t>SMA</t>
  </si>
  <si>
    <t>SMC</t>
  </si>
  <si>
    <t>DO-219AB (SMF)</t>
  </si>
  <si>
    <t>105312-1304</t>
  </si>
  <si>
    <t>DR127-220-R</t>
  </si>
  <si>
    <t>XAL5030-122MEC</t>
  </si>
  <si>
    <t>DRA74-3R3-R</t>
  </si>
  <si>
    <t>LED-0603</t>
  </si>
  <si>
    <t>SOIC-8</t>
  </si>
  <si>
    <t>SOT-23</t>
  </si>
  <si>
    <t>MMBT2222ATT3G</t>
  </si>
  <si>
    <t>Res-0603</t>
  </si>
  <si>
    <t>RES-2512</t>
  </si>
  <si>
    <t>Res-0805</t>
  </si>
  <si>
    <t>Res-0402</t>
  </si>
  <si>
    <t>Res-1206</t>
  </si>
  <si>
    <t>TSOT-23-5</t>
  </si>
  <si>
    <t>SSOP-20-208mil</t>
  </si>
  <si>
    <t>SOT-563</t>
  </si>
  <si>
    <t>SOP-8</t>
  </si>
  <si>
    <t>64-TQFP (10x10)</t>
  </si>
  <si>
    <t>SOT-23-6</t>
  </si>
  <si>
    <t>VQFN-13-HR(3x3.5)</t>
  </si>
  <si>
    <t>PowerPAK-SO-8</t>
  </si>
  <si>
    <t>SOT-23-5</t>
  </si>
  <si>
    <t>12-DFN (4x3)</t>
  </si>
  <si>
    <t>Manufacturer Part Number</t>
  </si>
  <si>
    <t>EEE-FK1E100R</t>
  </si>
  <si>
    <t>CL10B104KB8NNNC</t>
  </si>
  <si>
    <t>GRM155R71C104KA88D</t>
  </si>
  <si>
    <t>CC0603KRX5R8BB105</t>
  </si>
  <si>
    <t>T495D226K035ATE3007280</t>
  </si>
  <si>
    <t>CGA3E2X8R1H473M080AA</t>
  </si>
  <si>
    <t>CC0603KRX7R9BB223</t>
  </si>
  <si>
    <t>T495D476K025ATE250</t>
  </si>
  <si>
    <t>CGA0603X5R106K100JT</t>
  </si>
  <si>
    <t>C3216X5R1E226M160AB</t>
  </si>
  <si>
    <t>CC0603KRX5R6BB106</t>
  </si>
  <si>
    <t>CC0603KRX5R7BB475</t>
  </si>
  <si>
    <t>CC1206KKX5R9BB106</t>
  </si>
  <si>
    <t>CS1608X7R221K500NRB</t>
  </si>
  <si>
    <t>CKG57NX7R1H476M500JH</t>
  </si>
  <si>
    <t>GJM1555C1H120GB01D</t>
  </si>
  <si>
    <t>ES1A-13-F</t>
  </si>
  <si>
    <t>B560CQ-13-F</t>
  </si>
  <si>
    <t>BZD27C4V3P-E3-08</t>
  </si>
  <si>
    <t>1SS404,H3F</t>
  </si>
  <si>
    <t>105311-1303</t>
  </si>
  <si>
    <t>105311-1304</t>
  </si>
  <si>
    <t>X6511WV-06H-C60D30</t>
  </si>
  <si>
    <t>105311-1206</t>
  </si>
  <si>
    <t>NCD0603G2</t>
  </si>
  <si>
    <t>AO4485</t>
  </si>
  <si>
    <t>BC807-40</t>
  </si>
  <si>
    <t>RC0603FR-07100RL</t>
  </si>
  <si>
    <t>TLRP3A20CR090FTE</t>
  </si>
  <si>
    <t>RC0805FR-070RL</t>
  </si>
  <si>
    <t>RT0603BRD0710KL</t>
  </si>
  <si>
    <t>RC0603FR-071KL</t>
  </si>
  <si>
    <t>RC0402FR-0710KL</t>
  </si>
  <si>
    <t>RC0603FR-0715KL</t>
  </si>
  <si>
    <t>RC0603FR-0718KL</t>
  </si>
  <si>
    <t>HCJ0805ZT0R00</t>
  </si>
  <si>
    <t>1206W4F4641T5E</t>
  </si>
  <si>
    <t>RC0402FR-07178KL</t>
  </si>
  <si>
    <t>RC-02W7323FT</t>
  </si>
  <si>
    <t>CRCW040280K6FKED</t>
  </si>
  <si>
    <t>CR0402FF1743G</t>
  </si>
  <si>
    <t>RTT021333FTH</t>
  </si>
  <si>
    <t>RC0402BR-07499KL</t>
  </si>
  <si>
    <t>RC0402FR-0795K3L</t>
  </si>
  <si>
    <t>ADR364AUJZ-REEL7</t>
  </si>
  <si>
    <t>MAX1647EAP+</t>
  </si>
  <si>
    <t>DRV8220DRLR</t>
  </si>
  <si>
    <t>DMS3015SSS-13</t>
  </si>
  <si>
    <t>PIC18F6627T-E/PT</t>
  </si>
  <si>
    <t>OPA363AIDBVR</t>
  </si>
  <si>
    <t>TPS611781RNWT</t>
  </si>
  <si>
    <t>SI7145DP-T1-GE3</t>
  </si>
  <si>
    <t>LD2981CM50TR</t>
  </si>
  <si>
    <t>ISL85005AFRZ-T7A</t>
  </si>
  <si>
    <t>Manufacturer</t>
  </si>
  <si>
    <t>Panasonic</t>
  </si>
  <si>
    <t>Samsung</t>
  </si>
  <si>
    <t>Murata</t>
  </si>
  <si>
    <t>Yageo</t>
  </si>
  <si>
    <t>KEMET</t>
  </si>
  <si>
    <t>TDK</t>
  </si>
  <si>
    <t>HRE</t>
  </si>
  <si>
    <t>Samwha Capacitors</t>
  </si>
  <si>
    <t>Vishay Semiconductors</t>
  </si>
  <si>
    <t>Toshiba</t>
  </si>
  <si>
    <t>Molex</t>
  </si>
  <si>
    <t>XKB</t>
  </si>
  <si>
    <t>Eaton Cooper</t>
  </si>
  <si>
    <t>Coilcraft</t>
  </si>
  <si>
    <t>Foshan NationStar Optoelectronics</t>
  </si>
  <si>
    <t>Alpha &amp; Omega Semiconductor</t>
  </si>
  <si>
    <t>KEXIN</t>
  </si>
  <si>
    <t>ON Semiconductor</t>
  </si>
  <si>
    <t>CGS</t>
  </si>
  <si>
    <t>Stackpole Electronics</t>
  </si>
  <si>
    <t>UNI-ROYAL</t>
  </si>
  <si>
    <t>FH (Guangdong Fenghua Advanced Tech)</t>
  </si>
  <si>
    <t>Vishay Intertech</t>
  </si>
  <si>
    <t>LIZ Elec</t>
  </si>
  <si>
    <t>TA-I Tech</t>
  </si>
  <si>
    <t>RALEC</t>
  </si>
  <si>
    <t>RALAC</t>
  </si>
  <si>
    <t>Analog Devices</t>
  </si>
  <si>
    <t>Maxim</t>
  </si>
  <si>
    <t>Texas Instruments</t>
  </si>
  <si>
    <t>Microchip</t>
  </si>
  <si>
    <t>Vishay Siliconix</t>
  </si>
  <si>
    <t>STMicroelectronics</t>
  </si>
  <si>
    <t>Renesas Electronics Corporation</t>
  </si>
  <si>
    <t>10uF</t>
  </si>
  <si>
    <t>0.1uF</t>
  </si>
  <si>
    <t>1uF</t>
  </si>
  <si>
    <t>22uF</t>
  </si>
  <si>
    <t>47nF</t>
  </si>
  <si>
    <t>22nF</t>
  </si>
  <si>
    <t>47uF</t>
  </si>
  <si>
    <t>4.7uF</t>
  </si>
  <si>
    <t>220pF</t>
  </si>
  <si>
    <t>12pF</t>
  </si>
  <si>
    <t>DNP</t>
  </si>
  <si>
    <t>22uH</t>
  </si>
  <si>
    <t>1.2uH</t>
  </si>
  <si>
    <t>3.3uH</t>
  </si>
  <si>
    <t>10K</t>
  </si>
  <si>
    <t>100R</t>
  </si>
  <si>
    <t>90mR</t>
  </si>
  <si>
    <t>0R</t>
  </si>
  <si>
    <t>1K</t>
  </si>
  <si>
    <t>30K</t>
  </si>
  <si>
    <t>15K</t>
  </si>
  <si>
    <t>18K</t>
  </si>
  <si>
    <t>4.64K</t>
  </si>
  <si>
    <t>178K</t>
  </si>
  <si>
    <t>732K</t>
  </si>
  <si>
    <t>80.6K</t>
  </si>
  <si>
    <t>174K</t>
  </si>
  <si>
    <t>86.6K</t>
  </si>
  <si>
    <t>133K</t>
  </si>
  <si>
    <t>1.15K</t>
  </si>
  <si>
    <t>499K</t>
  </si>
  <si>
    <t>95.3K</t>
  </si>
  <si>
    <t>Quantity</t>
  </si>
  <si>
    <t>Remarks</t>
  </si>
  <si>
    <t>Value</t>
  </si>
  <si>
    <t>-</t>
  </si>
  <si>
    <t>Custom</t>
  </si>
  <si>
    <t>Transistor</t>
  </si>
  <si>
    <t>SOT-416</t>
  </si>
  <si>
    <t>SOD-323</t>
  </si>
  <si>
    <t>TH-2.5mm</t>
  </si>
  <si>
    <t>TH-4.2mm</t>
  </si>
  <si>
    <t>DO NOT PLACE</t>
  </si>
  <si>
    <t>RC0603FR-0730KL</t>
  </si>
  <si>
    <t>KOA Speer Electronics, Inc.</t>
  </si>
  <si>
    <t>RK73G1JTTD1002F</t>
  </si>
  <si>
    <t>RTT031151FTP</t>
  </si>
  <si>
    <t>RM04FTN8662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</si>
</sst>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9"/>
  <sheetViews>
    <sheetView tabSelected="1" workbookViewId="0">
      <selection activeCell="N14" sqref="N1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5.7109375" bestFit="1" customWidth="1"/>
    <col min="5" max="5" width="30" customWidth="1"/>
    <col min="6" max="6" width="15.140625" bestFit="1" customWidth="1"/>
    <col min="7" max="7" width="25.28515625" bestFit="1" customWidth="1"/>
    <col min="8" max="8" width="20.285156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12</v>
      </c>
      <c r="E2" s="6" t="s">
        <v>80</v>
      </c>
      <c r="F2" s="5" t="s">
        <v>145</v>
      </c>
      <c r="G2" s="6" t="s">
        <v>176</v>
      </c>
      <c r="H2" s="5" t="s">
        <v>231</v>
      </c>
      <c r="I2" s="6" t="s">
        <v>300</v>
      </c>
      <c r="J2" s="5" t="s">
        <v>298</v>
      </c>
      <c r="K2" s="5" t="s">
        <v>299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13</v>
      </c>
      <c r="E3" s="8" t="s">
        <v>81</v>
      </c>
      <c r="F3" s="7" t="s">
        <v>302</v>
      </c>
      <c r="G3" s="8" t="s">
        <v>177</v>
      </c>
      <c r="H3" s="7" t="s">
        <v>232</v>
      </c>
      <c r="I3" s="8" t="s">
        <v>266</v>
      </c>
      <c r="J3" s="7">
        <v>1</v>
      </c>
      <c r="K3" s="7"/>
    </row>
    <row r="4" spans="1:11" ht="15.75" thickBot="1" x14ac:dyDescent="0.3">
      <c r="A4" s="1"/>
      <c r="B4" s="11">
        <f t="shared" ref="B4:B68" si="0">ROW(B4) - ROW($B$2)</f>
        <v>2</v>
      </c>
      <c r="C4" s="12" t="s">
        <v>2</v>
      </c>
      <c r="D4" s="9" t="s">
        <v>14</v>
      </c>
      <c r="E4" s="10" t="s">
        <v>82</v>
      </c>
      <c r="F4" s="9" t="s">
        <v>146</v>
      </c>
      <c r="G4" s="10" t="s">
        <v>178</v>
      </c>
      <c r="H4" s="9" t="s">
        <v>233</v>
      </c>
      <c r="I4" s="10" t="s">
        <v>267</v>
      </c>
      <c r="J4" s="9">
        <v>8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15</v>
      </c>
      <c r="E5" s="8" t="s">
        <v>83</v>
      </c>
      <c r="F5" s="7" t="s">
        <v>147</v>
      </c>
      <c r="G5" s="8" t="s">
        <v>179</v>
      </c>
      <c r="H5" s="7" t="s">
        <v>234</v>
      </c>
      <c r="I5" s="8" t="s">
        <v>267</v>
      </c>
      <c r="J5" s="7">
        <v>14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16</v>
      </c>
      <c r="E6" s="10" t="s">
        <v>84</v>
      </c>
      <c r="F6" s="9" t="s">
        <v>146</v>
      </c>
      <c r="G6" s="10" t="s">
        <v>180</v>
      </c>
      <c r="H6" s="9" t="s">
        <v>235</v>
      </c>
      <c r="I6" s="10" t="s">
        <v>268</v>
      </c>
      <c r="J6" s="9">
        <v>3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17</v>
      </c>
      <c r="E7" s="8" t="s">
        <v>85</v>
      </c>
      <c r="F7" s="7" t="s">
        <v>148</v>
      </c>
      <c r="G7" s="8" t="s">
        <v>181</v>
      </c>
      <c r="H7" s="7" t="s">
        <v>236</v>
      </c>
      <c r="I7" s="8" t="s">
        <v>269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18</v>
      </c>
      <c r="E8" s="10" t="s">
        <v>86</v>
      </c>
      <c r="F8" s="9" t="s">
        <v>146</v>
      </c>
      <c r="G8" s="10" t="s">
        <v>182</v>
      </c>
      <c r="H8" s="9" t="s">
        <v>237</v>
      </c>
      <c r="I8" s="10" t="s">
        <v>270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19</v>
      </c>
      <c r="E9" s="8" t="s">
        <v>87</v>
      </c>
      <c r="F9" s="7" t="s">
        <v>146</v>
      </c>
      <c r="G9" s="8" t="s">
        <v>183</v>
      </c>
      <c r="H9" s="7" t="s">
        <v>235</v>
      </c>
      <c r="I9" s="8" t="s">
        <v>271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20</v>
      </c>
      <c r="E10" s="10" t="s">
        <v>88</v>
      </c>
      <c r="F10" s="9" t="s">
        <v>148</v>
      </c>
      <c r="G10" s="10" t="s">
        <v>184</v>
      </c>
      <c r="H10" s="9" t="s">
        <v>236</v>
      </c>
      <c r="I10" s="10" t="s">
        <v>272</v>
      </c>
      <c r="J10" s="9">
        <v>1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2</v>
      </c>
      <c r="D11" s="7" t="s">
        <v>21</v>
      </c>
      <c r="E11" s="8" t="s">
        <v>89</v>
      </c>
      <c r="F11" s="7" t="s">
        <v>146</v>
      </c>
      <c r="G11" s="8" t="s">
        <v>185</v>
      </c>
      <c r="H11" s="7" t="s">
        <v>238</v>
      </c>
      <c r="I11" s="8" t="s">
        <v>266</v>
      </c>
      <c r="J11" s="7">
        <v>4</v>
      </c>
      <c r="K11" s="7"/>
    </row>
    <row r="12" spans="1:11" ht="24.75" thickBot="1" x14ac:dyDescent="0.3">
      <c r="A12" s="1"/>
      <c r="B12" s="11">
        <f t="shared" si="0"/>
        <v>10</v>
      </c>
      <c r="C12" s="12" t="s">
        <v>2</v>
      </c>
      <c r="D12" s="9" t="s">
        <v>22</v>
      </c>
      <c r="E12" s="10" t="s">
        <v>90</v>
      </c>
      <c r="F12" s="9" t="s">
        <v>149</v>
      </c>
      <c r="G12" s="10" t="s">
        <v>186</v>
      </c>
      <c r="H12" s="9" t="s">
        <v>237</v>
      </c>
      <c r="I12" s="10" t="s">
        <v>269</v>
      </c>
      <c r="J12" s="9">
        <v>6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23</v>
      </c>
      <c r="E13" s="8" t="s">
        <v>91</v>
      </c>
      <c r="F13" s="7" t="s">
        <v>146</v>
      </c>
      <c r="G13" s="8" t="s">
        <v>187</v>
      </c>
      <c r="H13" s="7" t="s">
        <v>235</v>
      </c>
      <c r="I13" s="8" t="s">
        <v>266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24</v>
      </c>
      <c r="E14" s="10" t="s">
        <v>92</v>
      </c>
      <c r="F14" s="9" t="s">
        <v>146</v>
      </c>
      <c r="G14" s="10" t="s">
        <v>188</v>
      </c>
      <c r="H14" s="9" t="s">
        <v>235</v>
      </c>
      <c r="I14" s="10" t="s">
        <v>273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25</v>
      </c>
      <c r="E15" s="8" t="s">
        <v>93</v>
      </c>
      <c r="F15" s="7" t="s">
        <v>149</v>
      </c>
      <c r="G15" s="8" t="s">
        <v>189</v>
      </c>
      <c r="H15" s="7" t="s">
        <v>235</v>
      </c>
      <c r="I15" s="8" t="s">
        <v>266</v>
      </c>
      <c r="J15" s="7">
        <v>1</v>
      </c>
      <c r="K15" s="7"/>
    </row>
    <row r="16" spans="1:11" ht="36.75" thickBot="1" x14ac:dyDescent="0.3">
      <c r="A16" s="1"/>
      <c r="B16" s="11">
        <f t="shared" si="0"/>
        <v>14</v>
      </c>
      <c r="C16" s="12" t="s">
        <v>2</v>
      </c>
      <c r="D16" s="9" t="s">
        <v>26</v>
      </c>
      <c r="E16" s="10" t="s">
        <v>94</v>
      </c>
      <c r="F16" s="9" t="s">
        <v>146</v>
      </c>
      <c r="G16" s="10" t="s">
        <v>190</v>
      </c>
      <c r="H16" s="9" t="s">
        <v>239</v>
      </c>
      <c r="I16" s="10" t="s">
        <v>274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27</v>
      </c>
      <c r="E17" s="8" t="s">
        <v>95</v>
      </c>
      <c r="F17" s="7" t="s">
        <v>302</v>
      </c>
      <c r="G17" s="8" t="s">
        <v>191</v>
      </c>
      <c r="H17" s="7" t="s">
        <v>237</v>
      </c>
      <c r="I17" s="8" t="s">
        <v>272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2</v>
      </c>
      <c r="D18" s="9" t="s">
        <v>28</v>
      </c>
      <c r="E18" s="10" t="s">
        <v>96</v>
      </c>
      <c r="F18" s="9" t="s">
        <v>147</v>
      </c>
      <c r="G18" s="10" t="s">
        <v>192</v>
      </c>
      <c r="H18" s="9" t="s">
        <v>234</v>
      </c>
      <c r="I18" s="10" t="s">
        <v>275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2</v>
      </c>
      <c r="D19" s="15" t="s">
        <v>29</v>
      </c>
      <c r="E19" s="16" t="s">
        <v>83</v>
      </c>
      <c r="F19" s="15" t="s">
        <v>147</v>
      </c>
      <c r="G19" s="16" t="s">
        <v>179</v>
      </c>
      <c r="H19" s="19" t="s">
        <v>234</v>
      </c>
      <c r="I19" s="16" t="s">
        <v>276</v>
      </c>
      <c r="J19" s="15">
        <v>1</v>
      </c>
      <c r="K19" s="17" t="s">
        <v>308</v>
      </c>
    </row>
    <row r="20" spans="1:11" ht="15.75" thickBot="1" x14ac:dyDescent="0.3">
      <c r="A20" s="1"/>
      <c r="B20" s="11">
        <f t="shared" si="0"/>
        <v>18</v>
      </c>
      <c r="C20" s="13" t="s">
        <v>3</v>
      </c>
      <c r="D20" s="9" t="s">
        <v>30</v>
      </c>
      <c r="E20" s="10" t="s">
        <v>97</v>
      </c>
      <c r="F20" s="9" t="s">
        <v>150</v>
      </c>
      <c r="G20" s="10" t="s">
        <v>193</v>
      </c>
      <c r="H20" s="9" t="s">
        <v>3</v>
      </c>
      <c r="I20" s="10" t="s">
        <v>301</v>
      </c>
      <c r="J20" s="9">
        <v>2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4</v>
      </c>
      <c r="D21" s="7" t="s">
        <v>31</v>
      </c>
      <c r="E21" s="8" t="s">
        <v>98</v>
      </c>
      <c r="F21" s="7" t="s">
        <v>151</v>
      </c>
      <c r="G21" s="8" t="s">
        <v>194</v>
      </c>
      <c r="H21" s="7" t="s">
        <v>3</v>
      </c>
      <c r="I21" s="8" t="s">
        <v>301</v>
      </c>
      <c r="J21" s="7">
        <v>2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3</v>
      </c>
      <c r="D22" s="9" t="s">
        <v>32</v>
      </c>
      <c r="E22" s="10" t="s">
        <v>99</v>
      </c>
      <c r="F22" s="9" t="s">
        <v>152</v>
      </c>
      <c r="G22" s="10" t="s">
        <v>195</v>
      </c>
      <c r="H22" s="9" t="s">
        <v>240</v>
      </c>
      <c r="I22" s="10" t="s">
        <v>301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4</v>
      </c>
      <c r="D23" s="7" t="s">
        <v>33</v>
      </c>
      <c r="E23" s="8" t="s">
        <v>100</v>
      </c>
      <c r="F23" s="9" t="s">
        <v>305</v>
      </c>
      <c r="G23" s="8" t="s">
        <v>196</v>
      </c>
      <c r="H23" s="7" t="s">
        <v>241</v>
      </c>
      <c r="I23" s="8" t="s">
        <v>301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5</v>
      </c>
      <c r="D24" s="9" t="s">
        <v>34</v>
      </c>
      <c r="E24" s="10" t="s">
        <v>101</v>
      </c>
      <c r="F24" s="9" t="s">
        <v>306</v>
      </c>
      <c r="G24" s="10">
        <v>1053111302</v>
      </c>
      <c r="H24" s="9" t="s">
        <v>242</v>
      </c>
      <c r="I24" s="10" t="s">
        <v>301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6</v>
      </c>
      <c r="D25" s="7" t="s">
        <v>35</v>
      </c>
      <c r="E25" s="8" t="s">
        <v>102</v>
      </c>
      <c r="F25" s="9" t="s">
        <v>306</v>
      </c>
      <c r="G25" s="8" t="s">
        <v>153</v>
      </c>
      <c r="H25" s="7" t="s">
        <v>242</v>
      </c>
      <c r="I25" s="8" t="s">
        <v>301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6</v>
      </c>
      <c r="D26" s="9" t="s">
        <v>36</v>
      </c>
      <c r="E26" s="10" t="s">
        <v>103</v>
      </c>
      <c r="F26" s="9" t="s">
        <v>306</v>
      </c>
      <c r="G26" s="10" t="s">
        <v>197</v>
      </c>
      <c r="H26" s="9" t="s">
        <v>242</v>
      </c>
      <c r="I26" s="10" t="s">
        <v>301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6</v>
      </c>
      <c r="D27" s="7" t="s">
        <v>37</v>
      </c>
      <c r="E27" s="8" t="s">
        <v>104</v>
      </c>
      <c r="F27" s="9" t="s">
        <v>307</v>
      </c>
      <c r="G27" s="8">
        <v>462075004</v>
      </c>
      <c r="H27" s="7" t="s">
        <v>242</v>
      </c>
      <c r="I27" s="8" t="s">
        <v>301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6</v>
      </c>
      <c r="D28" s="9" t="s">
        <v>38</v>
      </c>
      <c r="E28" s="10" t="s">
        <v>102</v>
      </c>
      <c r="F28" s="9" t="s">
        <v>306</v>
      </c>
      <c r="G28" s="10" t="s">
        <v>198</v>
      </c>
      <c r="H28" s="9" t="s">
        <v>242</v>
      </c>
      <c r="I28" s="10" t="s">
        <v>301</v>
      </c>
      <c r="J28" s="9">
        <v>1</v>
      </c>
      <c r="K28" s="9"/>
    </row>
    <row r="29" spans="1:11" ht="48.75" thickBot="1" x14ac:dyDescent="0.3">
      <c r="A29" s="1"/>
      <c r="B29" s="11">
        <f>ROW(B29) - ROW($B$2)</f>
        <v>27</v>
      </c>
      <c r="C29" s="13" t="s">
        <v>6</v>
      </c>
      <c r="D29" s="7" t="s">
        <v>39</v>
      </c>
      <c r="E29" s="8" t="s">
        <v>105</v>
      </c>
      <c r="F29" s="9" t="s">
        <v>306</v>
      </c>
      <c r="G29" s="8" t="s">
        <v>199</v>
      </c>
      <c r="H29" s="7" t="s">
        <v>243</v>
      </c>
      <c r="I29" s="8" t="s">
        <v>301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6</v>
      </c>
      <c r="D30" s="9" t="s">
        <v>40</v>
      </c>
      <c r="E30" s="10" t="s">
        <v>106</v>
      </c>
      <c r="F30" s="9" t="s">
        <v>306</v>
      </c>
      <c r="G30" s="10" t="s">
        <v>200</v>
      </c>
      <c r="H30" s="9" t="s">
        <v>242</v>
      </c>
      <c r="I30" s="10" t="s">
        <v>301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7</v>
      </c>
      <c r="D31" s="7" t="s">
        <v>41</v>
      </c>
      <c r="E31" s="8" t="s">
        <v>107</v>
      </c>
      <c r="F31" s="7" t="s">
        <v>302</v>
      </c>
      <c r="G31" s="8" t="s">
        <v>154</v>
      </c>
      <c r="H31" s="7" t="s">
        <v>244</v>
      </c>
      <c r="I31" s="8" t="s">
        <v>277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7</v>
      </c>
      <c r="D32" s="9" t="s">
        <v>42</v>
      </c>
      <c r="E32" s="10" t="s">
        <v>108</v>
      </c>
      <c r="F32" s="9" t="s">
        <v>302</v>
      </c>
      <c r="G32" s="10" t="s">
        <v>155</v>
      </c>
      <c r="H32" s="9" t="s">
        <v>245</v>
      </c>
      <c r="I32" s="10" t="s">
        <v>278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7</v>
      </c>
      <c r="D33" s="7" t="s">
        <v>43</v>
      </c>
      <c r="E33" s="8" t="s">
        <v>109</v>
      </c>
      <c r="F33" s="7" t="s">
        <v>302</v>
      </c>
      <c r="G33" s="8" t="s">
        <v>156</v>
      </c>
      <c r="H33" s="7" t="s">
        <v>244</v>
      </c>
      <c r="I33" s="8" t="s">
        <v>279</v>
      </c>
      <c r="J33" s="7">
        <v>1</v>
      </c>
      <c r="K33" s="7"/>
    </row>
    <row r="34" spans="1:11" ht="24.75" thickBot="1" x14ac:dyDescent="0.3">
      <c r="A34" s="1"/>
      <c r="B34" s="11">
        <f t="shared" si="0"/>
        <v>32</v>
      </c>
      <c r="C34" s="13" t="s">
        <v>8</v>
      </c>
      <c r="D34" s="9" t="s">
        <v>44</v>
      </c>
      <c r="E34" s="10" t="s">
        <v>110</v>
      </c>
      <c r="F34" s="9" t="s">
        <v>157</v>
      </c>
      <c r="G34" s="10" t="s">
        <v>201</v>
      </c>
      <c r="H34" s="9" t="s">
        <v>246</v>
      </c>
      <c r="I34" s="10" t="s">
        <v>301</v>
      </c>
      <c r="J34" s="9">
        <v>3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303</v>
      </c>
      <c r="D35" s="7" t="s">
        <v>45</v>
      </c>
      <c r="E35" s="8" t="s">
        <v>111</v>
      </c>
      <c r="F35" s="7" t="s">
        <v>158</v>
      </c>
      <c r="G35" s="8" t="s">
        <v>202</v>
      </c>
      <c r="H35" s="7" t="s">
        <v>247</v>
      </c>
      <c r="I35" s="8" t="s">
        <v>301</v>
      </c>
      <c r="J35" s="7">
        <v>3</v>
      </c>
      <c r="K35" s="7"/>
    </row>
    <row r="36" spans="1:11" ht="24.75" thickBot="1" x14ac:dyDescent="0.3">
      <c r="A36" s="1"/>
      <c r="B36" s="11">
        <f t="shared" si="0"/>
        <v>34</v>
      </c>
      <c r="C36" s="13" t="s">
        <v>303</v>
      </c>
      <c r="D36" s="9" t="s">
        <v>46</v>
      </c>
      <c r="E36" s="10" t="s">
        <v>112</v>
      </c>
      <c r="F36" s="9" t="s">
        <v>159</v>
      </c>
      <c r="G36" s="10" t="s">
        <v>203</v>
      </c>
      <c r="H36" s="9" t="s">
        <v>248</v>
      </c>
      <c r="I36" s="10" t="s">
        <v>301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303</v>
      </c>
      <c r="D37" s="7" t="s">
        <v>47</v>
      </c>
      <c r="E37" s="8" t="s">
        <v>113</v>
      </c>
      <c r="F37" s="9" t="s">
        <v>304</v>
      </c>
      <c r="G37" s="8" t="s">
        <v>160</v>
      </c>
      <c r="H37" s="7" t="s">
        <v>249</v>
      </c>
      <c r="I37" s="8" t="s">
        <v>301</v>
      </c>
      <c r="J37" s="7">
        <v>4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9</v>
      </c>
      <c r="D38" s="9" t="s">
        <v>48</v>
      </c>
      <c r="E38" s="10" t="s">
        <v>114</v>
      </c>
      <c r="F38" s="9" t="s">
        <v>161</v>
      </c>
      <c r="G38" s="10" t="s">
        <v>311</v>
      </c>
      <c r="H38" s="9" t="s">
        <v>310</v>
      </c>
      <c r="I38" s="10" t="s">
        <v>280</v>
      </c>
      <c r="J38" s="9">
        <v>19</v>
      </c>
      <c r="K38" s="9"/>
    </row>
    <row r="39" spans="1:11" ht="15.75" thickBot="1" x14ac:dyDescent="0.3">
      <c r="A39" s="1"/>
      <c r="B39" s="11">
        <f>ROW(B39) - ROW($B$2)</f>
        <v>37</v>
      </c>
      <c r="C39" s="13" t="s">
        <v>9</v>
      </c>
      <c r="D39" s="7" t="s">
        <v>49</v>
      </c>
      <c r="E39" s="8" t="s">
        <v>115</v>
      </c>
      <c r="F39" s="7" t="s">
        <v>161</v>
      </c>
      <c r="G39" s="8" t="s">
        <v>204</v>
      </c>
      <c r="H39" s="7" t="s">
        <v>235</v>
      </c>
      <c r="I39" s="8" t="s">
        <v>281</v>
      </c>
      <c r="J39" s="7">
        <v>6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9</v>
      </c>
      <c r="D40" s="9" t="s">
        <v>50</v>
      </c>
      <c r="E40" s="10" t="s">
        <v>116</v>
      </c>
      <c r="F40" s="9" t="s">
        <v>162</v>
      </c>
      <c r="G40" s="10" t="s">
        <v>205</v>
      </c>
      <c r="H40" s="9" t="s">
        <v>250</v>
      </c>
      <c r="I40" s="10" t="s">
        <v>282</v>
      </c>
      <c r="J40" s="9">
        <v>2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9</v>
      </c>
      <c r="D41" s="7" t="s">
        <v>51</v>
      </c>
      <c r="E41" s="8" t="s">
        <v>117</v>
      </c>
      <c r="F41" s="7" t="s">
        <v>163</v>
      </c>
      <c r="G41" s="8" t="s">
        <v>206</v>
      </c>
      <c r="H41" s="7" t="s">
        <v>235</v>
      </c>
      <c r="I41" s="8" t="s">
        <v>283</v>
      </c>
      <c r="J41" s="7">
        <v>7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9</v>
      </c>
      <c r="D42" s="9" t="s">
        <v>52</v>
      </c>
      <c r="E42" s="10" t="s">
        <v>118</v>
      </c>
      <c r="F42" s="9" t="s">
        <v>161</v>
      </c>
      <c r="G42" s="10" t="s">
        <v>207</v>
      </c>
      <c r="H42" s="9" t="s">
        <v>235</v>
      </c>
      <c r="I42" s="10" t="s">
        <v>280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9</v>
      </c>
      <c r="D43" s="7" t="s">
        <v>53</v>
      </c>
      <c r="E43" s="8" t="s">
        <v>119</v>
      </c>
      <c r="F43" s="7" t="s">
        <v>161</v>
      </c>
      <c r="G43" s="8" t="s">
        <v>208</v>
      </c>
      <c r="H43" s="7" t="s">
        <v>235</v>
      </c>
      <c r="I43" s="8" t="s">
        <v>284</v>
      </c>
      <c r="J43" s="7">
        <v>4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9</v>
      </c>
      <c r="D44" s="9" t="s">
        <v>54</v>
      </c>
      <c r="E44" s="10" t="s">
        <v>120</v>
      </c>
      <c r="F44" s="9" t="s">
        <v>164</v>
      </c>
      <c r="G44" s="10" t="s">
        <v>209</v>
      </c>
      <c r="H44" s="9" t="s">
        <v>235</v>
      </c>
      <c r="I44" s="10" t="s">
        <v>280</v>
      </c>
      <c r="J44" s="9">
        <v>4</v>
      </c>
      <c r="K44" s="9"/>
    </row>
    <row r="45" spans="1:11" ht="15.75" thickBot="1" x14ac:dyDescent="0.3">
      <c r="A45" s="1"/>
      <c r="B45" s="11">
        <f>ROW(B45) - ROW($B$2)</f>
        <v>43</v>
      </c>
      <c r="C45" s="13" t="s">
        <v>9</v>
      </c>
      <c r="D45" s="7" t="s">
        <v>55</v>
      </c>
      <c r="E45" s="8" t="s">
        <v>121</v>
      </c>
      <c r="F45" s="7" t="s">
        <v>161</v>
      </c>
      <c r="G45" s="8" t="s">
        <v>309</v>
      </c>
      <c r="H45" s="9" t="s">
        <v>235</v>
      </c>
      <c r="I45" s="8" t="s">
        <v>285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9</v>
      </c>
      <c r="D46" s="9" t="s">
        <v>56</v>
      </c>
      <c r="E46" s="10" t="s">
        <v>122</v>
      </c>
      <c r="F46" s="9" t="s">
        <v>161</v>
      </c>
      <c r="G46" s="10" t="s">
        <v>210</v>
      </c>
      <c r="H46" s="9" t="s">
        <v>235</v>
      </c>
      <c r="I46" s="10" t="s">
        <v>286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3" t="s">
        <v>9</v>
      </c>
      <c r="D47" s="7" t="s">
        <v>57</v>
      </c>
      <c r="E47" s="8" t="s">
        <v>123</v>
      </c>
      <c r="F47" s="7" t="s">
        <v>161</v>
      </c>
      <c r="G47" s="8" t="s">
        <v>211</v>
      </c>
      <c r="H47" s="7" t="s">
        <v>235</v>
      </c>
      <c r="I47" s="8" t="s">
        <v>287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9</v>
      </c>
      <c r="D48" s="9" t="s">
        <v>58</v>
      </c>
      <c r="E48" s="10" t="s">
        <v>124</v>
      </c>
      <c r="F48" s="9" t="s">
        <v>163</v>
      </c>
      <c r="G48" s="10" t="s">
        <v>212</v>
      </c>
      <c r="H48" s="9" t="s">
        <v>251</v>
      </c>
      <c r="I48" s="10" t="s">
        <v>283</v>
      </c>
      <c r="J48" s="9">
        <v>1</v>
      </c>
      <c r="K48" s="9"/>
    </row>
    <row r="49" spans="1:11" ht="36.75" thickBot="1" x14ac:dyDescent="0.3">
      <c r="A49" s="1"/>
      <c r="B49" s="11">
        <f>ROW(B49) - ROW($B$2)</f>
        <v>47</v>
      </c>
      <c r="C49" s="12" t="s">
        <v>9</v>
      </c>
      <c r="D49" s="7" t="s">
        <v>59</v>
      </c>
      <c r="E49" s="8" t="s">
        <v>125</v>
      </c>
      <c r="F49" s="7" t="s">
        <v>165</v>
      </c>
      <c r="G49" s="8" t="s">
        <v>213</v>
      </c>
      <c r="H49" s="7" t="s">
        <v>252</v>
      </c>
      <c r="I49" s="8" t="s">
        <v>288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2" t="s">
        <v>9</v>
      </c>
      <c r="D50" s="9" t="s">
        <v>60</v>
      </c>
      <c r="E50" s="10" t="s">
        <v>126</v>
      </c>
      <c r="F50" s="9" t="s">
        <v>164</v>
      </c>
      <c r="G50" s="10" t="s">
        <v>214</v>
      </c>
      <c r="H50" s="9" t="s">
        <v>235</v>
      </c>
      <c r="I50" s="10" t="s">
        <v>289</v>
      </c>
      <c r="J50" s="9">
        <v>1</v>
      </c>
      <c r="K50" s="9"/>
    </row>
    <row r="51" spans="1:11" ht="36.75" thickBot="1" x14ac:dyDescent="0.3">
      <c r="A51" s="1"/>
      <c r="B51" s="11">
        <f>ROW(B51) - ROW($B$2)</f>
        <v>49</v>
      </c>
      <c r="C51" s="12" t="s">
        <v>9</v>
      </c>
      <c r="D51" s="7" t="s">
        <v>61</v>
      </c>
      <c r="E51" s="8" t="s">
        <v>127</v>
      </c>
      <c r="F51" s="7" t="s">
        <v>164</v>
      </c>
      <c r="G51" s="8" t="s">
        <v>215</v>
      </c>
      <c r="H51" s="7" t="s">
        <v>253</v>
      </c>
      <c r="I51" s="8" t="s">
        <v>290</v>
      </c>
      <c r="J51" s="7">
        <v>1</v>
      </c>
      <c r="K51" s="7"/>
    </row>
    <row r="52" spans="1:11" ht="36.75" thickBot="1" x14ac:dyDescent="0.3">
      <c r="A52" s="1"/>
      <c r="B52" s="11">
        <f t="shared" si="0"/>
        <v>50</v>
      </c>
      <c r="C52" s="13" t="s">
        <v>9</v>
      </c>
      <c r="D52" s="9" t="s">
        <v>62</v>
      </c>
      <c r="E52" s="10" t="s">
        <v>128</v>
      </c>
      <c r="F52" s="9" t="s">
        <v>164</v>
      </c>
      <c r="G52" s="10" t="s">
        <v>216</v>
      </c>
      <c r="H52" s="9" t="s">
        <v>254</v>
      </c>
      <c r="I52" s="10" t="s">
        <v>291</v>
      </c>
      <c r="J52" s="9">
        <v>1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9</v>
      </c>
      <c r="D53" s="7" t="s">
        <v>63</v>
      </c>
      <c r="E53" s="8" t="s">
        <v>129</v>
      </c>
      <c r="F53" s="7" t="s">
        <v>164</v>
      </c>
      <c r="G53" s="8" t="s">
        <v>217</v>
      </c>
      <c r="H53" s="7" t="s">
        <v>255</v>
      </c>
      <c r="I53" s="8" t="s">
        <v>292</v>
      </c>
      <c r="J53" s="7">
        <v>1</v>
      </c>
      <c r="K53" s="7"/>
    </row>
    <row r="54" spans="1:11" ht="36.75" thickBot="1" x14ac:dyDescent="0.3">
      <c r="A54" s="1"/>
      <c r="B54" s="11">
        <f t="shared" si="0"/>
        <v>52</v>
      </c>
      <c r="C54" s="12" t="s">
        <v>9</v>
      </c>
      <c r="D54" s="9" t="s">
        <v>64</v>
      </c>
      <c r="E54" s="10" t="s">
        <v>130</v>
      </c>
      <c r="F54" s="9" t="s">
        <v>164</v>
      </c>
      <c r="G54" s="10" t="s">
        <v>313</v>
      </c>
      <c r="H54" s="9" t="s">
        <v>256</v>
      </c>
      <c r="I54" s="10" t="s">
        <v>293</v>
      </c>
      <c r="J54" s="9">
        <v>1</v>
      </c>
      <c r="K54" s="9"/>
    </row>
    <row r="55" spans="1:11" ht="36.75" thickBot="1" x14ac:dyDescent="0.3">
      <c r="A55" s="1"/>
      <c r="B55" s="11">
        <f>ROW(B55) - ROW($B$2)</f>
        <v>53</v>
      </c>
      <c r="C55" s="12" t="s">
        <v>9</v>
      </c>
      <c r="D55" s="7" t="s">
        <v>65</v>
      </c>
      <c r="E55" s="8" t="s">
        <v>131</v>
      </c>
      <c r="F55" s="7" t="s">
        <v>164</v>
      </c>
      <c r="G55" s="8" t="s">
        <v>218</v>
      </c>
      <c r="H55" s="7" t="s">
        <v>257</v>
      </c>
      <c r="I55" s="8" t="s">
        <v>294</v>
      </c>
      <c r="J55" s="7">
        <v>1</v>
      </c>
      <c r="K55" s="7"/>
    </row>
    <row r="56" spans="1:11" ht="36.75" thickBot="1" x14ac:dyDescent="0.3">
      <c r="A56" s="1"/>
      <c r="B56" s="11">
        <f t="shared" si="0"/>
        <v>54</v>
      </c>
      <c r="C56" s="13" t="s">
        <v>9</v>
      </c>
      <c r="D56" s="9" t="s">
        <v>66</v>
      </c>
      <c r="E56" s="10" t="s">
        <v>132</v>
      </c>
      <c r="F56" s="9" t="s">
        <v>164</v>
      </c>
      <c r="G56" s="10" t="s">
        <v>312</v>
      </c>
      <c r="H56" s="9" t="s">
        <v>258</v>
      </c>
      <c r="I56" s="10" t="s">
        <v>295</v>
      </c>
      <c r="J56" s="9">
        <v>2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9</v>
      </c>
      <c r="D57" s="7" t="s">
        <v>67</v>
      </c>
      <c r="E57" s="8" t="s">
        <v>133</v>
      </c>
      <c r="F57" s="7" t="s">
        <v>164</v>
      </c>
      <c r="G57" s="8" t="s">
        <v>219</v>
      </c>
      <c r="H57" s="7" t="s">
        <v>235</v>
      </c>
      <c r="I57" s="8" t="s">
        <v>296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2" t="s">
        <v>9</v>
      </c>
      <c r="D58" s="9" t="s">
        <v>68</v>
      </c>
      <c r="E58" s="10" t="s">
        <v>134</v>
      </c>
      <c r="F58" s="9" t="s">
        <v>164</v>
      </c>
      <c r="G58" s="10" t="s">
        <v>220</v>
      </c>
      <c r="H58" s="9" t="s">
        <v>235</v>
      </c>
      <c r="I58" s="10" t="s">
        <v>297</v>
      </c>
      <c r="J58" s="9">
        <v>1</v>
      </c>
      <c r="K58" s="9"/>
    </row>
    <row r="59" spans="1:11" ht="24.75" thickBot="1" x14ac:dyDescent="0.3">
      <c r="A59" s="1"/>
      <c r="B59" s="11">
        <f>ROW(B59) - ROW($B$2)</f>
        <v>57</v>
      </c>
      <c r="C59" s="13" t="s">
        <v>9</v>
      </c>
      <c r="D59" s="17" t="s">
        <v>69</v>
      </c>
      <c r="E59" s="18" t="s">
        <v>134</v>
      </c>
      <c r="F59" s="17" t="s">
        <v>164</v>
      </c>
      <c r="G59" s="18" t="s">
        <v>220</v>
      </c>
      <c r="H59" s="20" t="s">
        <v>235</v>
      </c>
      <c r="I59" s="18" t="s">
        <v>276</v>
      </c>
      <c r="J59" s="17">
        <v>1</v>
      </c>
      <c r="K59" s="17" t="s">
        <v>308</v>
      </c>
    </row>
    <row r="60" spans="1:11" ht="15.75" thickBot="1" x14ac:dyDescent="0.3">
      <c r="A60" s="1"/>
      <c r="B60" s="11">
        <f t="shared" si="0"/>
        <v>58</v>
      </c>
      <c r="C60" s="13" t="s">
        <v>10</v>
      </c>
      <c r="D60" s="9" t="s">
        <v>70</v>
      </c>
      <c r="E60" s="10" t="s">
        <v>135</v>
      </c>
      <c r="F60" s="9" t="s">
        <v>166</v>
      </c>
      <c r="G60" s="10" t="s">
        <v>221</v>
      </c>
      <c r="H60" s="9" t="s">
        <v>259</v>
      </c>
      <c r="I60" s="10" t="s">
        <v>301</v>
      </c>
      <c r="J60" s="9">
        <v>1</v>
      </c>
      <c r="K60" s="9"/>
    </row>
    <row r="61" spans="1:11" ht="36.75" thickBot="1" x14ac:dyDescent="0.3">
      <c r="A61" s="1"/>
      <c r="B61" s="11">
        <f>ROW(B61) - ROW($B$2)</f>
        <v>59</v>
      </c>
      <c r="C61" s="12" t="s">
        <v>10</v>
      </c>
      <c r="D61" s="7" t="s">
        <v>71</v>
      </c>
      <c r="E61" s="8" t="s">
        <v>136</v>
      </c>
      <c r="F61" s="7" t="s">
        <v>167</v>
      </c>
      <c r="G61" s="8" t="s">
        <v>222</v>
      </c>
      <c r="H61" s="7" t="s">
        <v>260</v>
      </c>
      <c r="I61" s="8" t="s">
        <v>301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10</v>
      </c>
      <c r="D62" s="9" t="s">
        <v>72</v>
      </c>
      <c r="E62" s="10" t="s">
        <v>137</v>
      </c>
      <c r="F62" s="9" t="s">
        <v>168</v>
      </c>
      <c r="G62" s="10" t="s">
        <v>223</v>
      </c>
      <c r="H62" s="9" t="s">
        <v>261</v>
      </c>
      <c r="I62" s="10" t="s">
        <v>301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10</v>
      </c>
      <c r="D63" s="7" t="s">
        <v>73</v>
      </c>
      <c r="E63" s="8" t="s">
        <v>138</v>
      </c>
      <c r="F63" s="7" t="s">
        <v>169</v>
      </c>
      <c r="G63" s="8" t="s">
        <v>224</v>
      </c>
      <c r="H63" s="7" t="s">
        <v>3</v>
      </c>
      <c r="I63" s="8" t="s">
        <v>301</v>
      </c>
      <c r="J63" s="7">
        <v>2</v>
      </c>
      <c r="K63" s="7"/>
    </row>
    <row r="64" spans="1:11" ht="15.75" thickBot="1" x14ac:dyDescent="0.3">
      <c r="A64" s="1"/>
      <c r="B64" s="11">
        <f t="shared" si="0"/>
        <v>62</v>
      </c>
      <c r="C64" s="12" t="s">
        <v>10</v>
      </c>
      <c r="D64" s="9" t="s">
        <v>74</v>
      </c>
      <c r="E64" s="10" t="s">
        <v>139</v>
      </c>
      <c r="F64" s="9" t="s">
        <v>170</v>
      </c>
      <c r="G64" s="10" t="s">
        <v>225</v>
      </c>
      <c r="H64" s="9" t="s">
        <v>262</v>
      </c>
      <c r="I64" s="10" t="s">
        <v>301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10</v>
      </c>
      <c r="D65" s="7" t="s">
        <v>75</v>
      </c>
      <c r="E65" s="8" t="s">
        <v>140</v>
      </c>
      <c r="F65" s="7" t="s">
        <v>171</v>
      </c>
      <c r="G65" s="8" t="s">
        <v>226</v>
      </c>
      <c r="H65" s="7" t="s">
        <v>261</v>
      </c>
      <c r="I65" s="8" t="s">
        <v>301</v>
      </c>
      <c r="J65" s="7">
        <v>4</v>
      </c>
      <c r="K65" s="7"/>
    </row>
    <row r="66" spans="1:11" ht="36.75" thickBot="1" x14ac:dyDescent="0.3">
      <c r="A66" s="1"/>
      <c r="B66" s="11">
        <f t="shared" si="0"/>
        <v>64</v>
      </c>
      <c r="C66" s="12" t="s">
        <v>10</v>
      </c>
      <c r="D66" s="9" t="s">
        <v>76</v>
      </c>
      <c r="E66" s="10" t="s">
        <v>141</v>
      </c>
      <c r="F66" s="9" t="s">
        <v>172</v>
      </c>
      <c r="G66" s="10" t="s">
        <v>227</v>
      </c>
      <c r="H66" s="9" t="s">
        <v>261</v>
      </c>
      <c r="I66" s="10" t="s">
        <v>301</v>
      </c>
      <c r="J66" s="9">
        <v>1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11</v>
      </c>
      <c r="D67" s="7" t="s">
        <v>77</v>
      </c>
      <c r="E67" s="8" t="s">
        <v>142</v>
      </c>
      <c r="F67" s="7" t="s">
        <v>173</v>
      </c>
      <c r="G67" s="8" t="s">
        <v>228</v>
      </c>
      <c r="H67" s="7" t="s">
        <v>263</v>
      </c>
      <c r="I67" s="8" t="s">
        <v>301</v>
      </c>
      <c r="J67" s="7">
        <v>1</v>
      </c>
      <c r="K67" s="7"/>
    </row>
    <row r="68" spans="1:11" ht="36.75" thickBot="1" x14ac:dyDescent="0.3">
      <c r="A68" s="1"/>
      <c r="B68" s="11">
        <f t="shared" si="0"/>
        <v>66</v>
      </c>
      <c r="C68" s="13" t="s">
        <v>10</v>
      </c>
      <c r="D68" s="9" t="s">
        <v>78</v>
      </c>
      <c r="E68" s="10" t="s">
        <v>143</v>
      </c>
      <c r="F68" s="9" t="s">
        <v>174</v>
      </c>
      <c r="G68" s="10" t="s">
        <v>229</v>
      </c>
      <c r="H68" s="9" t="s">
        <v>264</v>
      </c>
      <c r="I68" s="10" t="s">
        <v>301</v>
      </c>
      <c r="J68" s="9">
        <v>1</v>
      </c>
      <c r="K68" s="9"/>
    </row>
    <row r="69" spans="1:11" ht="24.75" thickBot="1" x14ac:dyDescent="0.3">
      <c r="A69" s="1"/>
      <c r="B69" s="11">
        <f>ROW(B69) - ROW($B$2)</f>
        <v>67</v>
      </c>
      <c r="C69" s="12" t="s">
        <v>10</v>
      </c>
      <c r="D69" s="7" t="s">
        <v>79</v>
      </c>
      <c r="E69" s="8" t="s">
        <v>144</v>
      </c>
      <c r="F69" s="7" t="s">
        <v>175</v>
      </c>
      <c r="G69" s="8" t="s">
        <v>230</v>
      </c>
      <c r="H69" s="7" t="s">
        <v>265</v>
      </c>
      <c r="I69" s="8" t="s">
        <v>301</v>
      </c>
      <c r="J69" s="7">
        <v>1</v>
      </c>
      <c r="K6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2024-08-02T13:15:03Z</dcterms:modified>
</cp:coreProperties>
</file>