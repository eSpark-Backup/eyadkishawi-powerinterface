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<sst xmlns="http://schemas.openxmlformats.org/spreadsheetml/2006/main" count="486" uniqueCount="320">
  <si>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</si>
  <si>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</si>
  <si>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</si>
  <si>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</si>
  <si>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</si>
  <si>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</si>
  <si>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</si>
  <si>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</si>
  <si>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</si>
  <si>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</si>
  <si>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</si>
  <si>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</t>
  </si>
  <si>
    <t>CAP ALUM 10UF 20% 25V SMD</t>
  </si>
  <si>
    <t>Custom</t>
  </si>
  <si>
    <t>EEE-FK1E100R</t>
  </si>
  <si>
    <t>Panasonic</t>
  </si>
  <si>
    <t>10uF</t>
  </si>
  <si>
    <t>C2, C8, C12, C25, C26, C29, C30, C33</t>
  </si>
  <si>
    <t>CAP CER 0.1UF 50V X7R 0603</t>
  </si>
  <si>
    <t>Cap-0603</t>
  </si>
  <si>
    <t>CL10B104KB8NNNC</t>
  </si>
  <si>
    <t>Samsung</t>
  </si>
  <si>
    <t>0.1uF</t>
  </si>
  <si>
    <t>C3, C4, C5, C6, C10, C15, C17, C19, C21, C23, C24, C27, C28, C48</t>
  </si>
  <si>
    <t>CAP CER 0.1UF 16V X7R 0402</t>
  </si>
  <si>
    <t>Cap-0402</t>
  </si>
  <si>
    <t>GRM155R71C104KA88D</t>
  </si>
  <si>
    <t>Murata</t>
  </si>
  <si>
    <t>C7, C43, C47</t>
  </si>
  <si>
    <t>CAP CER 1UF 25V X5R 0603</t>
  </si>
  <si>
    <t>CC0603KRX5R8BB105</t>
  </si>
  <si>
    <t>Yageo</t>
  </si>
  <si>
    <t>1uF</t>
  </si>
  <si>
    <t>C9</t>
  </si>
  <si>
    <t>CAP TANT 22UF 10% 35V 2917</t>
  </si>
  <si>
    <t>Case-D</t>
  </si>
  <si>
    <t>T495D226K035ATE3007280</t>
  </si>
  <si>
    <t>KEMET</t>
  </si>
  <si>
    <t>22uF</t>
  </si>
  <si>
    <t>C11</t>
  </si>
  <si>
    <t>CAP CER 0.047UF 50V X8R 0603</t>
  </si>
  <si>
    <t>CGA3E2X8R1H473M080AA</t>
  </si>
  <si>
    <t>TDK</t>
  </si>
  <si>
    <t>47nF</t>
  </si>
  <si>
    <t>C13, C37</t>
  </si>
  <si>
    <t>CAP CER 0.022UF 50V X7R 0603</t>
  </si>
  <si>
    <t>CC0603KRX7R9BB223</t>
  </si>
  <si>
    <t>22nF</t>
  </si>
  <si>
    <t>C14</t>
  </si>
  <si>
    <t>CAP TANT 47UF 10% 25V 2917</t>
  </si>
  <si>
    <t>T495D476K025ATE250</t>
  </si>
  <si>
    <t>47uF</t>
  </si>
  <si>
    <t>C16, C18, C20, C22</t>
  </si>
  <si>
    <t>10V 10uF X5R ±10% 0603 Multilayer Ceramic Capacitors MLCC - SMD/SMT ROHS</t>
  </si>
  <si>
    <t>CGA0603X5R106K100JT</t>
  </si>
  <si>
    <t>HRE</t>
  </si>
  <si>
    <t>C31, C32, C38, C39, C40, C46</t>
  </si>
  <si>
    <t>Multilayer Ceramic Capacitor, 22 uF, 25 V, ± 20%, X5R, 1206 [3216 Metric]</t>
  </si>
  <si>
    <t>Cap-1206</t>
  </si>
  <si>
    <t>C3216X5R1E226M160AB</t>
  </si>
  <si>
    <t>C34</t>
  </si>
  <si>
    <t>CAP CER 10UF 10V X5R 0603</t>
  </si>
  <si>
    <t>CC0603KRX5R6BB106</t>
  </si>
  <si>
    <t>C35, C42</t>
  </si>
  <si>
    <t>CAP CER 4.7UF 16V X5R 0603</t>
  </si>
  <si>
    <t>CC0603KRX5R7BB475</t>
  </si>
  <si>
    <t>4.7uF</t>
  </si>
  <si>
    <t>C36</t>
  </si>
  <si>
    <t>CAP CER 10UF 50V X5R 1206</t>
  </si>
  <si>
    <t>CC1206KKX5R9BB106</t>
  </si>
  <si>
    <t>C41</t>
  </si>
  <si>
    <t>50V 220pF X7R ±10% 0603 Multilayer Ceramic Capacitors MLCC - SMD/SMT ROHS</t>
  </si>
  <si>
    <t>CS1608X7R221K500NRB</t>
  </si>
  <si>
    <t>Samwha Capacitors</t>
  </si>
  <si>
    <t>220pF</t>
  </si>
  <si>
    <t>C44, C45</t>
  </si>
  <si>
    <t>CAP CER 47UF 50V X7R 2SMD</t>
  </si>
  <si>
    <t>CKG57NX7R1H476M500JH</t>
  </si>
  <si>
    <t>C49</t>
  </si>
  <si>
    <t>CAP CER 12PF 50V C0G/NP0 0402</t>
  </si>
  <si>
    <t>GJM1555C1H120GB01D</t>
  </si>
  <si>
    <t>12pF</t>
  </si>
  <si>
    <t>C50</t>
  </si>
  <si>
    <t>DNP</t>
  </si>
  <si>
    <t>DO NOT PLACE</t>
  </si>
  <si>
    <t>Diodes</t>
  </si>
  <si>
    <t>D1, D5</t>
  </si>
  <si>
    <t>DIODE GEN PURP 50V 1A SMA</t>
  </si>
  <si>
    <t>SMA</t>
  </si>
  <si>
    <t>ES1A-13-F</t>
  </si>
  <si>
    <t>-</t>
  </si>
  <si>
    <t>Diode</t>
  </si>
  <si>
    <t>D2, D3</t>
  </si>
  <si>
    <t>DIODE SCHOTTKY 60V 5A SMC</t>
  </si>
  <si>
    <t>SMC</t>
  </si>
  <si>
    <t>B560CQ-13-F</t>
  </si>
  <si>
    <t>D4</t>
  </si>
  <si>
    <t>Zener Diode, 4.3V V(Z), 6.98%, 0.8W, Silicon, Unidirectional, DO-219AB</t>
  </si>
  <si>
    <t>DO-219AB (SMF)</t>
  </si>
  <si>
    <t>BZD27C4V3P-E3-08</t>
  </si>
  <si>
    <t>Vishay Semiconductors</t>
  </si>
  <si>
    <t>D6, D7</t>
  </si>
  <si>
    <t>Diode Schottky Barrier 25V 0.3A 2 SOD-323</t>
  </si>
  <si>
    <t>SOD-323</t>
  </si>
  <si>
    <t>1SS404,H3F</t>
  </si>
  <si>
    <t>Toshiba</t>
  </si>
  <si>
    <t>Headers</t>
  </si>
  <si>
    <t>J3</t>
  </si>
  <si>
    <t>CONN HEADER VERT 2POS 2.5MM</t>
  </si>
  <si>
    <t>TH-2.5mm</t>
  </si>
  <si>
    <t>Molex</t>
  </si>
  <si>
    <t>Header</t>
  </si>
  <si>
    <t>J7</t>
  </si>
  <si>
    <t>CONN HEADER VERT 4POS 2.5MM</t>
  </si>
  <si>
    <t>105312-1304</t>
  </si>
  <si>
    <t>J10</t>
  </si>
  <si>
    <t>CONN HEADER VERT 3POS 2.5MM</t>
  </si>
  <si>
    <t>105311-1303</t>
  </si>
  <si>
    <t>J13</t>
  </si>
  <si>
    <t>MINI-FIT JR LCP VERT. HDR PEGS 4</t>
  </si>
  <si>
    <t>TH-4.2mm</t>
  </si>
  <si>
    <t>J17</t>
  </si>
  <si>
    <t>105311-1304</t>
  </si>
  <si>
    <t>J20</t>
  </si>
  <si>
    <t>Gold 250V 3A Straight Square Pins 2.5mm 6P 260℃ 6mm -40℃~+105℃ 3mm 2.54mm Plugin Black Brass 1x6P Plugin,P=2.54mm Pin Headers ROHS</t>
  </si>
  <si>
    <t>X6511WV-06H-C60D30</t>
  </si>
  <si>
    <t>XKB</t>
  </si>
  <si>
    <t>J43</t>
  </si>
  <si>
    <t>CONN HEADER VERT 6POS 2.5MM</t>
  </si>
  <si>
    <t>105311-1206</t>
  </si>
  <si>
    <t>Inductors</t>
  </si>
  <si>
    <t>L1</t>
  </si>
  <si>
    <t>FIXED IND 22UH 4A 39.1 MOHM SMD</t>
  </si>
  <si>
    <t>DR127-220-R</t>
  </si>
  <si>
    <t>Eaton Cooper</t>
  </si>
  <si>
    <t>22uH</t>
  </si>
  <si>
    <t>L2</t>
  </si>
  <si>
    <t>FIXED IND 1.2UH 10.4A 12.4MOHM</t>
  </si>
  <si>
    <t>XAL5030-122MEC</t>
  </si>
  <si>
    <t>Coilcraft</t>
  </si>
  <si>
    <t>1.2uH</t>
  </si>
  <si>
    <t>L3</t>
  </si>
  <si>
    <t>FIXED IND 3.3UH 4.16A 16MOHM SMD</t>
  </si>
  <si>
    <t>DRA74-3R3-R</t>
  </si>
  <si>
    <t>3.3uH</t>
  </si>
  <si>
    <t>LED</t>
  </si>
  <si>
    <t>LED1, LED2, LED3</t>
  </si>
  <si>
    <t>Emerald 0603 Light Emitting Diodes (LED) ROHS</t>
  </si>
  <si>
    <t>LED-0603</t>
  </si>
  <si>
    <t>NCD0603G2</t>
  </si>
  <si>
    <t>Foshan NationStar Optoelectronics</t>
  </si>
  <si>
    <t>Transistor</t>
  </si>
  <si>
    <t>Q1, Q3, Q5</t>
  </si>
  <si>
    <t>MOSFET P-CH 40V 10A 8SOIC</t>
  </si>
  <si>
    <t>SOIC-8</t>
  </si>
  <si>
    <t>AO4485</t>
  </si>
  <si>
    <t>Alpha &amp; Omega Semiconductor</t>
  </si>
  <si>
    <t>Q2</t>
  </si>
  <si>
    <t>45V 310mW 250@100mA,1V 800mA SOT-23 Bipolar (BJT) ROHS</t>
  </si>
  <si>
    <t>SOT-23</t>
  </si>
  <si>
    <t>BC807-40</t>
  </si>
  <si>
    <t>KEXIN</t>
  </si>
  <si>
    <t>Q4, Q6, Q7, Q8</t>
  </si>
  <si>
    <t>Small Signal Bipolar Transistor, 0.6A I(C), 40V V(BR)CEO, 1-Element, NPN, Silicon</t>
  </si>
  <si>
    <t>SOT-416</t>
  </si>
  <si>
    <t>MMBT2222ATT3G</t>
  </si>
  <si>
    <t>ON Semiconductor</t>
  </si>
  <si>
    <t>Resistor</t>
  </si>
  <si>
    <t>R1, R22, R23, R24, R25</t>
  </si>
  <si>
    <t>RES 10K OHM 1% 1/16W 0402</t>
  </si>
  <si>
    <t>Res-0402</t>
  </si>
  <si>
    <t>RC0402FR-0710KL</t>
  </si>
  <si>
    <t>10K</t>
  </si>
  <si>
    <t>R2, R3</t>
  </si>
  <si>
    <t>RES SMD 10 OHM 1% 1/5W 0402</t>
  </si>
  <si>
    <t>CRCW040210R0FKEDHP</t>
  </si>
  <si>
    <t>Vishay Dale</t>
  </si>
  <si>
    <t>10R</t>
  </si>
  <si>
    <t>R4, R5, R6, R12, R13, R16, R38, R41, R46, R51, R56, R59, R60, R100</t>
  </si>
  <si>
    <t>RES 10K OHM 1% 1/10W 0603</t>
  </si>
  <si>
    <t>Res-0603</t>
  </si>
  <si>
    <t>RK73G1JTTD1002F</t>
  </si>
  <si>
    <t>KOA Speer Electronics, Inc.</t>
  </si>
  <si>
    <t>R26, R31, R36, R37</t>
  </si>
  <si>
    <t>RES 10K OHM 0.1% 1/16W 0603</t>
  </si>
  <si>
    <t>RNCS0603BKE10K0</t>
  </si>
  <si>
    <t>Stackpole Electronics Inc</t>
  </si>
  <si>
    <t>R7, R8</t>
  </si>
  <si>
    <t>Res Current Sense Metal Strip 2512 0.09 Ohm 1% 2W ±25ppm/°C Molded Emboss T/R</t>
  </si>
  <si>
    <t>RES-2512</t>
  </si>
  <si>
    <t>TLRP3A20CR090FTE</t>
  </si>
  <si>
    <t>CGS</t>
  </si>
  <si>
    <t>90mR</t>
  </si>
  <si>
    <t>R10, R11, R17, R18, R19, R20, R21</t>
  </si>
  <si>
    <t>RES 0 OHM JUMPER 1/8W 0805</t>
  </si>
  <si>
    <t>Res-0805</t>
  </si>
  <si>
    <t>RC0805FR-070RL</t>
  </si>
  <si>
    <t>0R</t>
  </si>
  <si>
    <t>R14</t>
  </si>
  <si>
    <t>RES SMD 10K OHM 0.1% 1/10W 0603</t>
  </si>
  <si>
    <t>RT0603BRD0710KL</t>
  </si>
  <si>
    <t>R15, R39, R45, R58</t>
  </si>
  <si>
    <t>RES SMD 1K OHM 1% 1/10W 0603</t>
  </si>
  <si>
    <t>RC0603FR-071KL</t>
  </si>
  <si>
    <t>1K</t>
  </si>
  <si>
    <t>R27, R33</t>
  </si>
  <si>
    <t>RES SMD 30K OHM 0.1% 1/16W 0603</t>
  </si>
  <si>
    <t>CPF0603B30KE1</t>
  </si>
  <si>
    <t>TE Connectivity Passive Product</t>
  </si>
  <si>
    <t>30K</t>
  </si>
  <si>
    <t xml:space="preserve"> R28, R29, R34, R35</t>
  </si>
  <si>
    <t>RES SMD 100 OHM 1% 1/10W 0603</t>
  </si>
  <si>
    <t>RC0603FR-07100RL</t>
  </si>
  <si>
    <t>100R</t>
  </si>
  <si>
    <t>R30</t>
  </si>
  <si>
    <t>RES SMD 15K OHM 0.1% 1/16W 0603</t>
  </si>
  <si>
    <t>CPF0603B15KE1</t>
  </si>
  <si>
    <t>15K</t>
  </si>
  <si>
    <t>R32</t>
  </si>
  <si>
    <t>RES SMD 18K OHM 0.1% 1/16W 0603</t>
  </si>
  <si>
    <t>CPF0603B18KE1</t>
  </si>
  <si>
    <t>18K</t>
  </si>
  <si>
    <t>R40</t>
  </si>
  <si>
    <t>HCJ Series 0805 Jumper Surface Mount Chip Resistor</t>
  </si>
  <si>
    <t>HCJ0805ZT0R00</t>
  </si>
  <si>
    <t>Stackpole Electronics</t>
  </si>
  <si>
    <t>R42</t>
  </si>
  <si>
    <t>250mW Thick Film Resistors 200V ±100ppm/℃ ±1% 4.64kΩ 1206 Chip Resistor - Surface Mount ROHS</t>
  </si>
  <si>
    <t>Res-1206</t>
  </si>
  <si>
    <t>1206W4F4641T5E</t>
  </si>
  <si>
    <t>UNI-ROYAL</t>
  </si>
  <si>
    <t>4.64K</t>
  </si>
  <si>
    <t>R44</t>
  </si>
  <si>
    <t>62.5mW Thick Film Resistors ±1% ±200ppm/℃ 732kΩ 0402 Chip Resistor - Surface Mount ROHS</t>
  </si>
  <si>
    <t>RC-02W7323FT</t>
  </si>
  <si>
    <t>FH (Guangdong Fenghua Advanced Tech)</t>
  </si>
  <si>
    <t>732K</t>
  </si>
  <si>
    <t>R47</t>
  </si>
  <si>
    <t>62.5mW Thick Film Resistors 75V ±1% ±100ppm/℃ 80.6kΩ 0402 Chip Resistor - Surface Mount ROHS</t>
  </si>
  <si>
    <t>CRCW040280K6FKED</t>
  </si>
  <si>
    <t>Vishay Intertech</t>
  </si>
  <si>
    <t>80.6K</t>
  </si>
  <si>
    <t>R48</t>
  </si>
  <si>
    <t>62.5mW Thick Film Resistors 50V ±1% ±200ppm/℃ 174kΩ 0402 Chip Resistor - Surface Mount ROHS</t>
  </si>
  <si>
    <t>CR0402FF1743G</t>
  </si>
  <si>
    <t>LIZ Elec</t>
  </si>
  <si>
    <t>174K</t>
  </si>
  <si>
    <t>R49</t>
  </si>
  <si>
    <t>62.5mW Thick Film Resistors 50V ±100ppm/℃ ±1% 86.6kΩ 0402 Chip Resistor - Surface Mount ROHS</t>
  </si>
  <si>
    <t>RM04FTN8662</t>
  </si>
  <si>
    <t>TA-I Tech</t>
  </si>
  <si>
    <t>86.6K</t>
  </si>
  <si>
    <t>R43,R50</t>
  </si>
  <si>
    <t>62.5mW Thick Film Resistors 50V ±100ppm/℃ ±1% 133kΩ 0402 Chip Resistor - Surface Mount ROHS</t>
  </si>
  <si>
    <t>RTT021333FTH</t>
  </si>
  <si>
    <t>RALEC</t>
  </si>
  <si>
    <t>133K</t>
  </si>
  <si>
    <t>R52, R54</t>
  </si>
  <si>
    <t>100mW Thick Film Resistors 75V ±100ppm/℃ ±1% 1.15kΩ 0603 Chip Resistor - Surface Mount ROHS</t>
  </si>
  <si>
    <t>RTT031151FTP</t>
  </si>
  <si>
    <t>RALAC</t>
  </si>
  <si>
    <t>1.15K</t>
  </si>
  <si>
    <t>R53</t>
  </si>
  <si>
    <t>RES 499K OHM 0.1% 1/16W 0402</t>
  </si>
  <si>
    <t>RC0402BR-07499KL</t>
  </si>
  <si>
    <t>499K</t>
  </si>
  <si>
    <t>R55</t>
  </si>
  <si>
    <t>RES 95.3K OHM 1% 1/16W 0402</t>
  </si>
  <si>
    <t>RC0402FR-0795K3L</t>
  </si>
  <si>
    <t>95.3K</t>
  </si>
  <si>
    <t>R57</t>
  </si>
  <si>
    <t>IC</t>
  </si>
  <si>
    <t>U1</t>
  </si>
  <si>
    <t>IC VREF SERIES 0.2% TSOT5</t>
  </si>
  <si>
    <t>TSOT-23-5</t>
  </si>
  <si>
    <t>ADR364AUJZ-REEL7</t>
  </si>
  <si>
    <t>Analog Devices</t>
  </si>
  <si>
    <t>U2</t>
  </si>
  <si>
    <t>Battery Charger Lead-Acid/Li-Ion/NiCD/NiMH 4000mA 18V 20-Pin SSOP</t>
  </si>
  <si>
    <t>SSOP-20-208mil</t>
  </si>
  <si>
    <t>MAX1647EAP+</t>
  </si>
  <si>
    <t>Maxim</t>
  </si>
  <si>
    <t>U3</t>
  </si>
  <si>
    <t>20-V, 1-A H-BRIDGE MOTOR DRIVER</t>
  </si>
  <si>
    <t>SOT-563</t>
  </si>
  <si>
    <t>DRV8220DRLR</t>
  </si>
  <si>
    <t>Texas Instruments</t>
  </si>
  <si>
    <t>U4, U5</t>
  </si>
  <si>
    <t>MOSFET N-CH 30V 11A 8SO</t>
  </si>
  <si>
    <t>SOP-8</t>
  </si>
  <si>
    <t>DMS3015SSS-13</t>
  </si>
  <si>
    <t>U6</t>
  </si>
  <si>
    <t>IC MCU 8BIT 96KB FLASH 64TQFP</t>
  </si>
  <si>
    <t>64-TQFP (10x10)</t>
  </si>
  <si>
    <t>PIC18F6627T-E/PT</t>
  </si>
  <si>
    <t>Microchip</t>
  </si>
  <si>
    <t>U7, U8, U9, U10</t>
  </si>
  <si>
    <t>IC OPAMP GP 1 CIRCUIT SOT23-6</t>
  </si>
  <si>
    <t>SOT-23-6</t>
  </si>
  <si>
    <t>OPA363AIDBVR</t>
  </si>
  <si>
    <t>U11</t>
  </si>
  <si>
    <t>20-V, 10-A fully integrated sync boost with load disconnect 13-VQFN-HR -40 to 85</t>
  </si>
  <si>
    <t>VQFN-13-HR(3x3.5)</t>
  </si>
  <si>
    <t>TPS611781RNWT</t>
  </si>
  <si>
    <t>MOSFET</t>
  </si>
  <si>
    <t>U12</t>
  </si>
  <si>
    <t>MOSFET P-CH 30V 60A PPAK SO-8</t>
  </si>
  <si>
    <t>PowerPAK-SO-8</t>
  </si>
  <si>
    <t>SI7145DP-T1-GE3</t>
  </si>
  <si>
    <t>Vishay Siliconix</t>
  </si>
  <si>
    <t>U13</t>
  </si>
  <si>
    <t>LD2981 Series 100 mA 5 V Fixed Output LDO Regulator with Inhibit - SOT-23-5</t>
  </si>
  <si>
    <t>SOT-23-5</t>
  </si>
  <si>
    <t>LD2981CM50TR</t>
  </si>
  <si>
    <t>STMicroelectronics</t>
  </si>
  <si>
    <t>U14</t>
  </si>
  <si>
    <t>IC REG BUCK ADJ 5A 12DFN</t>
  </si>
  <si>
    <t>12-DFN (4x3)</t>
  </si>
  <si>
    <t>ISL85005AFRZ-T7A</t>
  </si>
  <si>
    <t>Renesas Electronics Corporation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</si>
</sst>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Fill="1"/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0"/>
  <sheetViews>
    <sheetView tabSelected="1" topLeftCell="B50" workbookViewId="0">
      <selection activeCell="D56" sqref="D56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5.7142857142857" customWidth="1"/>
    <col min="5" max="5" width="30" customWidth="1"/>
    <col min="6" max="6" width="15.1428571428571" customWidth="1"/>
    <col min="7" max="7" width="25.2857142857143" customWidth="1"/>
    <col min="8" max="8" width="20.2857142857143" customWidth="1"/>
    <col min="9" max="9" width="6.14285714285714" customWidth="1"/>
    <col min="10" max="10" width="8.71428571428571" customWidth="1"/>
    <col min="11" max="11" width="8.57142857142857" customWidth="1"/>
  </cols>
  <sheetData>
    <row r="1" ht="15.75" spans="1:11">
      <c r="A1" s="3"/>
      <c r="B1" s="4"/>
      <c r="C1" s="4"/>
      <c r="D1" s="5"/>
      <c r="E1" s="5"/>
      <c r="F1" s="5"/>
      <c r="G1" s="5"/>
      <c r="H1" s="5"/>
      <c r="I1" s="25"/>
      <c r="J1" s="25"/>
      <c r="K1" s="25"/>
    </row>
    <row r="2" ht="15.75" spans="1:1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</row>
    <row r="3" ht="15.75" spans="1:11">
      <c r="A3" s="3"/>
      <c r="B3" s="8">
        <f>ROW(B3)-ROW($B$2)</f>
        <v>1</v>
      </c>
      <c r="C3" s="9" t="s">
        <v>10</v>
      </c>
      <c r="D3" s="10" t="s">
        <v>11</v>
      </c>
      <c r="E3" s="11" t="s">
        <v>12</v>
      </c>
      <c r="F3" s="10" t="s">
        <v>13</v>
      </c>
      <c r="G3" s="11" t="s">
        <v>14</v>
      </c>
      <c r="H3" s="10" t="s">
        <v>15</v>
      </c>
      <c r="I3" s="11" t="s">
        <v>16</v>
      </c>
      <c r="J3" s="10">
        <v>1</v>
      </c>
      <c r="K3" s="10"/>
    </row>
    <row r="4" ht="15.75" spans="1:11">
      <c r="A4" s="3"/>
      <c r="B4" s="8">
        <f t="shared" ref="B4:B37" si="0">ROW(B4)-ROW($B$2)</f>
        <v>2</v>
      </c>
      <c r="C4" s="9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8</v>
      </c>
      <c r="K4" s="12"/>
    </row>
    <row r="5" ht="24.75" spans="1:11">
      <c r="A5" s="3"/>
      <c r="B5" s="8">
        <f t="shared" si="0"/>
        <v>3</v>
      </c>
      <c r="C5" s="9" t="s">
        <v>10</v>
      </c>
      <c r="D5" s="10" t="s">
        <v>23</v>
      </c>
      <c r="E5" s="11" t="s">
        <v>24</v>
      </c>
      <c r="F5" s="10" t="s">
        <v>25</v>
      </c>
      <c r="G5" s="11" t="s">
        <v>26</v>
      </c>
      <c r="H5" s="10" t="s">
        <v>27</v>
      </c>
      <c r="I5" s="11" t="s">
        <v>22</v>
      </c>
      <c r="J5" s="10">
        <v>14</v>
      </c>
      <c r="K5" s="10"/>
    </row>
    <row r="6" ht="15.75" spans="1:11">
      <c r="A6" s="3"/>
      <c r="B6" s="8">
        <f t="shared" si="0"/>
        <v>4</v>
      </c>
      <c r="C6" s="14" t="s">
        <v>10</v>
      </c>
      <c r="D6" s="12" t="s">
        <v>28</v>
      </c>
      <c r="E6" s="13" t="s">
        <v>29</v>
      </c>
      <c r="F6" s="12" t="s">
        <v>19</v>
      </c>
      <c r="G6" s="13" t="s">
        <v>30</v>
      </c>
      <c r="H6" s="12" t="s">
        <v>31</v>
      </c>
      <c r="I6" s="13" t="s">
        <v>32</v>
      </c>
      <c r="J6" s="12">
        <v>3</v>
      </c>
      <c r="K6" s="12"/>
    </row>
    <row r="7" ht="15.75" spans="1:11">
      <c r="A7" s="3"/>
      <c r="B7" s="8">
        <f t="shared" si="0"/>
        <v>5</v>
      </c>
      <c r="C7" s="9" t="s">
        <v>10</v>
      </c>
      <c r="D7" s="10" t="s">
        <v>33</v>
      </c>
      <c r="E7" s="11" t="s">
        <v>34</v>
      </c>
      <c r="F7" s="10" t="s">
        <v>35</v>
      </c>
      <c r="G7" s="11" t="s">
        <v>36</v>
      </c>
      <c r="H7" s="10" t="s">
        <v>37</v>
      </c>
      <c r="I7" s="11" t="s">
        <v>38</v>
      </c>
      <c r="J7" s="10">
        <v>1</v>
      </c>
      <c r="K7" s="10"/>
    </row>
    <row r="8" ht="15.75" spans="1:11">
      <c r="A8" s="3"/>
      <c r="B8" s="8">
        <f t="shared" si="0"/>
        <v>6</v>
      </c>
      <c r="C8" s="14" t="s">
        <v>10</v>
      </c>
      <c r="D8" s="12" t="s">
        <v>39</v>
      </c>
      <c r="E8" s="13" t="s">
        <v>40</v>
      </c>
      <c r="F8" s="12" t="s">
        <v>19</v>
      </c>
      <c r="G8" s="13" t="s">
        <v>41</v>
      </c>
      <c r="H8" s="12" t="s">
        <v>42</v>
      </c>
      <c r="I8" s="13" t="s">
        <v>43</v>
      </c>
      <c r="J8" s="12">
        <v>1</v>
      </c>
      <c r="K8" s="12"/>
    </row>
    <row r="9" ht="15.75" spans="1:11">
      <c r="A9" s="3"/>
      <c r="B9" s="8">
        <f t="shared" si="0"/>
        <v>7</v>
      </c>
      <c r="C9" s="9" t="s">
        <v>10</v>
      </c>
      <c r="D9" s="10" t="s">
        <v>44</v>
      </c>
      <c r="E9" s="11" t="s">
        <v>45</v>
      </c>
      <c r="F9" s="10" t="s">
        <v>19</v>
      </c>
      <c r="G9" s="11" t="s">
        <v>46</v>
      </c>
      <c r="H9" s="10" t="s">
        <v>31</v>
      </c>
      <c r="I9" s="11" t="s">
        <v>47</v>
      </c>
      <c r="J9" s="10">
        <v>2</v>
      </c>
      <c r="K9" s="10"/>
    </row>
    <row r="10" ht="15.75" spans="1:11">
      <c r="A10" s="3"/>
      <c r="B10" s="8">
        <f t="shared" si="0"/>
        <v>8</v>
      </c>
      <c r="C10" s="14" t="s">
        <v>10</v>
      </c>
      <c r="D10" s="12" t="s">
        <v>48</v>
      </c>
      <c r="E10" s="13" t="s">
        <v>49</v>
      </c>
      <c r="F10" s="12" t="s">
        <v>35</v>
      </c>
      <c r="G10" s="13" t="s">
        <v>50</v>
      </c>
      <c r="H10" s="12" t="s">
        <v>37</v>
      </c>
      <c r="I10" s="13" t="s">
        <v>51</v>
      </c>
      <c r="J10" s="12">
        <v>1</v>
      </c>
      <c r="K10" s="12"/>
    </row>
    <row r="11" ht="36.75" spans="1:11">
      <c r="A11" s="3"/>
      <c r="B11" s="8">
        <f t="shared" si="0"/>
        <v>9</v>
      </c>
      <c r="C11" s="9" t="s">
        <v>10</v>
      </c>
      <c r="D11" s="10" t="s">
        <v>52</v>
      </c>
      <c r="E11" s="11" t="s">
        <v>53</v>
      </c>
      <c r="F11" s="10" t="s">
        <v>19</v>
      </c>
      <c r="G11" s="11" t="s">
        <v>54</v>
      </c>
      <c r="H11" s="10" t="s">
        <v>55</v>
      </c>
      <c r="I11" s="11" t="s">
        <v>16</v>
      </c>
      <c r="J11" s="10">
        <v>4</v>
      </c>
      <c r="K11" s="10"/>
    </row>
    <row r="12" ht="24.75" spans="1:11">
      <c r="A12" s="3"/>
      <c r="B12" s="8">
        <f t="shared" si="0"/>
        <v>10</v>
      </c>
      <c r="C12" s="9" t="s">
        <v>10</v>
      </c>
      <c r="D12" s="12" t="s">
        <v>56</v>
      </c>
      <c r="E12" s="13" t="s">
        <v>57</v>
      </c>
      <c r="F12" s="12" t="s">
        <v>58</v>
      </c>
      <c r="G12" s="13" t="s">
        <v>59</v>
      </c>
      <c r="H12" s="12" t="s">
        <v>42</v>
      </c>
      <c r="I12" s="13" t="s">
        <v>38</v>
      </c>
      <c r="J12" s="12">
        <v>6</v>
      </c>
      <c r="K12" s="12"/>
    </row>
    <row r="13" ht="15.75" spans="1:11">
      <c r="A13" s="3"/>
      <c r="B13" s="8">
        <f t="shared" si="0"/>
        <v>11</v>
      </c>
      <c r="C13" s="9" t="s">
        <v>10</v>
      </c>
      <c r="D13" s="10" t="s">
        <v>60</v>
      </c>
      <c r="E13" s="11" t="s">
        <v>61</v>
      </c>
      <c r="F13" s="10" t="s">
        <v>19</v>
      </c>
      <c r="G13" s="11" t="s">
        <v>62</v>
      </c>
      <c r="H13" s="10" t="s">
        <v>31</v>
      </c>
      <c r="I13" s="11" t="s">
        <v>16</v>
      </c>
      <c r="J13" s="10">
        <v>1</v>
      </c>
      <c r="K13" s="10"/>
    </row>
    <row r="14" ht="15.75" spans="1:11">
      <c r="A14" s="3"/>
      <c r="B14" s="8">
        <f t="shared" si="0"/>
        <v>12</v>
      </c>
      <c r="C14" s="9" t="s">
        <v>10</v>
      </c>
      <c r="D14" s="12" t="s">
        <v>63</v>
      </c>
      <c r="E14" s="13" t="s">
        <v>64</v>
      </c>
      <c r="F14" s="12" t="s">
        <v>19</v>
      </c>
      <c r="G14" s="13" t="s">
        <v>65</v>
      </c>
      <c r="H14" s="12" t="s">
        <v>31</v>
      </c>
      <c r="I14" s="13" t="s">
        <v>66</v>
      </c>
      <c r="J14" s="12">
        <v>2</v>
      </c>
      <c r="K14" s="12"/>
    </row>
    <row r="15" ht="15.75" spans="1:11">
      <c r="A15" s="3"/>
      <c r="B15" s="8">
        <f t="shared" si="0"/>
        <v>13</v>
      </c>
      <c r="C15" s="9" t="s">
        <v>10</v>
      </c>
      <c r="D15" s="10" t="s">
        <v>67</v>
      </c>
      <c r="E15" s="11" t="s">
        <v>68</v>
      </c>
      <c r="F15" s="10" t="s">
        <v>58</v>
      </c>
      <c r="G15" s="11" t="s">
        <v>69</v>
      </c>
      <c r="H15" s="10" t="s">
        <v>31</v>
      </c>
      <c r="I15" s="11" t="s">
        <v>16</v>
      </c>
      <c r="J15" s="10">
        <v>1</v>
      </c>
      <c r="K15" s="10"/>
    </row>
    <row r="16" ht="36.75" spans="1:11">
      <c r="A16" s="3"/>
      <c r="B16" s="8">
        <f t="shared" si="0"/>
        <v>14</v>
      </c>
      <c r="C16" s="9" t="s">
        <v>10</v>
      </c>
      <c r="D16" s="12" t="s">
        <v>70</v>
      </c>
      <c r="E16" s="13" t="s">
        <v>71</v>
      </c>
      <c r="F16" s="12" t="s">
        <v>19</v>
      </c>
      <c r="G16" s="13" t="s">
        <v>72</v>
      </c>
      <c r="H16" s="12" t="s">
        <v>73</v>
      </c>
      <c r="I16" s="13" t="s">
        <v>74</v>
      </c>
      <c r="J16" s="12">
        <v>1</v>
      </c>
      <c r="K16" s="12"/>
    </row>
    <row r="17" ht="15.75" spans="1:11">
      <c r="A17" s="3"/>
      <c r="B17" s="8">
        <f t="shared" si="0"/>
        <v>15</v>
      </c>
      <c r="C17" s="9" t="s">
        <v>10</v>
      </c>
      <c r="D17" s="10" t="s">
        <v>75</v>
      </c>
      <c r="E17" s="11" t="s">
        <v>76</v>
      </c>
      <c r="F17" s="10" t="s">
        <v>13</v>
      </c>
      <c r="G17" s="11" t="s">
        <v>77</v>
      </c>
      <c r="H17" s="10" t="s">
        <v>42</v>
      </c>
      <c r="I17" s="11" t="s">
        <v>51</v>
      </c>
      <c r="J17" s="10">
        <v>2</v>
      </c>
      <c r="K17" s="10"/>
    </row>
    <row r="18" ht="15.75" spans="1:11">
      <c r="A18" s="3"/>
      <c r="B18" s="8">
        <f t="shared" si="0"/>
        <v>16</v>
      </c>
      <c r="C18" s="9" t="s">
        <v>10</v>
      </c>
      <c r="D18" s="12" t="s">
        <v>78</v>
      </c>
      <c r="E18" s="13" t="s">
        <v>79</v>
      </c>
      <c r="F18" s="12" t="s">
        <v>25</v>
      </c>
      <c r="G18" s="13" t="s">
        <v>80</v>
      </c>
      <c r="H18" s="12" t="s">
        <v>27</v>
      </c>
      <c r="I18" s="13" t="s">
        <v>81</v>
      </c>
      <c r="J18" s="12">
        <v>1</v>
      </c>
      <c r="K18" s="12"/>
    </row>
    <row r="19" ht="24.75" spans="1:11">
      <c r="A19" s="3"/>
      <c r="B19" s="8">
        <f t="shared" si="0"/>
        <v>17</v>
      </c>
      <c r="C19" s="9" t="s">
        <v>10</v>
      </c>
      <c r="D19" s="15" t="s">
        <v>82</v>
      </c>
      <c r="E19" s="16" t="s">
        <v>24</v>
      </c>
      <c r="F19" s="15" t="s">
        <v>25</v>
      </c>
      <c r="G19" s="16" t="s">
        <v>26</v>
      </c>
      <c r="H19" s="17" t="s">
        <v>27</v>
      </c>
      <c r="I19" s="16" t="s">
        <v>83</v>
      </c>
      <c r="J19" s="15">
        <v>1</v>
      </c>
      <c r="K19" s="22" t="s">
        <v>84</v>
      </c>
    </row>
    <row r="20" ht="15.75" spans="1:11">
      <c r="A20" s="3"/>
      <c r="B20" s="8">
        <f t="shared" si="0"/>
        <v>18</v>
      </c>
      <c r="C20" s="14" t="s">
        <v>85</v>
      </c>
      <c r="D20" s="12" t="s">
        <v>86</v>
      </c>
      <c r="E20" s="13" t="s">
        <v>87</v>
      </c>
      <c r="F20" s="12" t="s">
        <v>88</v>
      </c>
      <c r="G20" s="13" t="s">
        <v>89</v>
      </c>
      <c r="H20" s="12" t="s">
        <v>85</v>
      </c>
      <c r="I20" s="13" t="s">
        <v>90</v>
      </c>
      <c r="J20" s="12">
        <v>2</v>
      </c>
      <c r="K20" s="12"/>
    </row>
    <row r="21" ht="15.75" spans="1:11">
      <c r="A21" s="3"/>
      <c r="B21" s="8">
        <f t="shared" si="0"/>
        <v>19</v>
      </c>
      <c r="C21" s="9" t="s">
        <v>91</v>
      </c>
      <c r="D21" s="10" t="s">
        <v>92</v>
      </c>
      <c r="E21" s="11" t="s">
        <v>93</v>
      </c>
      <c r="F21" s="10" t="s">
        <v>94</v>
      </c>
      <c r="G21" s="11" t="s">
        <v>95</v>
      </c>
      <c r="H21" s="10" t="s">
        <v>85</v>
      </c>
      <c r="I21" s="11" t="s">
        <v>90</v>
      </c>
      <c r="J21" s="10">
        <v>2</v>
      </c>
      <c r="K21" s="10"/>
    </row>
    <row r="22" ht="24.75" spans="1:11">
      <c r="A22" s="3"/>
      <c r="B22" s="8">
        <f t="shared" si="0"/>
        <v>20</v>
      </c>
      <c r="C22" s="14" t="s">
        <v>85</v>
      </c>
      <c r="D22" s="12" t="s">
        <v>96</v>
      </c>
      <c r="E22" s="13" t="s">
        <v>97</v>
      </c>
      <c r="F22" s="12" t="s">
        <v>98</v>
      </c>
      <c r="G22" s="13" t="s">
        <v>99</v>
      </c>
      <c r="H22" s="12" t="s">
        <v>100</v>
      </c>
      <c r="I22" s="13" t="s">
        <v>90</v>
      </c>
      <c r="J22" s="12">
        <v>1</v>
      </c>
      <c r="K22" s="12"/>
    </row>
    <row r="23" ht="24.75" spans="1:11">
      <c r="A23" s="3"/>
      <c r="B23" s="8">
        <f t="shared" si="0"/>
        <v>21</v>
      </c>
      <c r="C23" s="9" t="s">
        <v>91</v>
      </c>
      <c r="D23" s="10" t="s">
        <v>101</v>
      </c>
      <c r="E23" s="11" t="s">
        <v>102</v>
      </c>
      <c r="F23" s="12" t="s">
        <v>103</v>
      </c>
      <c r="G23" s="11" t="s">
        <v>104</v>
      </c>
      <c r="H23" s="10" t="s">
        <v>105</v>
      </c>
      <c r="I23" s="11" t="s">
        <v>90</v>
      </c>
      <c r="J23" s="10">
        <v>2</v>
      </c>
      <c r="K23" s="10"/>
    </row>
    <row r="24" ht="15.75" spans="1:11">
      <c r="A24" s="3"/>
      <c r="B24" s="8">
        <f t="shared" si="0"/>
        <v>22</v>
      </c>
      <c r="C24" s="14" t="s">
        <v>106</v>
      </c>
      <c r="D24" s="12" t="s">
        <v>107</v>
      </c>
      <c r="E24" s="13" t="s">
        <v>108</v>
      </c>
      <c r="F24" s="12" t="s">
        <v>109</v>
      </c>
      <c r="G24" s="13">
        <v>1053111302</v>
      </c>
      <c r="H24" s="12" t="s">
        <v>110</v>
      </c>
      <c r="I24" s="13" t="s">
        <v>90</v>
      </c>
      <c r="J24" s="12">
        <v>1</v>
      </c>
      <c r="K24" s="12"/>
    </row>
    <row r="25" ht="15.75" spans="1:11">
      <c r="A25" s="3"/>
      <c r="B25" s="8">
        <f t="shared" si="0"/>
        <v>23</v>
      </c>
      <c r="C25" s="9" t="s">
        <v>111</v>
      </c>
      <c r="D25" s="10" t="s">
        <v>112</v>
      </c>
      <c r="E25" s="11" t="s">
        <v>113</v>
      </c>
      <c r="F25" s="12" t="s">
        <v>109</v>
      </c>
      <c r="G25" s="11" t="s">
        <v>114</v>
      </c>
      <c r="H25" s="10" t="s">
        <v>110</v>
      </c>
      <c r="I25" s="11" t="s">
        <v>90</v>
      </c>
      <c r="J25" s="10">
        <v>1</v>
      </c>
      <c r="K25" s="10"/>
    </row>
    <row r="26" ht="15.75" spans="1:11">
      <c r="A26" s="3"/>
      <c r="B26" s="8">
        <f t="shared" si="0"/>
        <v>24</v>
      </c>
      <c r="C26" s="14" t="s">
        <v>111</v>
      </c>
      <c r="D26" s="12" t="s">
        <v>115</v>
      </c>
      <c r="E26" s="13" t="s">
        <v>116</v>
      </c>
      <c r="F26" s="12" t="s">
        <v>109</v>
      </c>
      <c r="G26" s="13" t="s">
        <v>117</v>
      </c>
      <c r="H26" s="12" t="s">
        <v>110</v>
      </c>
      <c r="I26" s="13" t="s">
        <v>90</v>
      </c>
      <c r="J26" s="12">
        <v>1</v>
      </c>
      <c r="K26" s="12"/>
    </row>
    <row r="27" ht="15.75" spans="1:11">
      <c r="A27" s="3"/>
      <c r="B27" s="8">
        <f t="shared" si="0"/>
        <v>25</v>
      </c>
      <c r="C27" s="9" t="s">
        <v>111</v>
      </c>
      <c r="D27" s="10" t="s">
        <v>118</v>
      </c>
      <c r="E27" s="11" t="s">
        <v>119</v>
      </c>
      <c r="F27" s="12" t="s">
        <v>120</v>
      </c>
      <c r="G27" s="11">
        <v>462075004</v>
      </c>
      <c r="H27" s="10" t="s">
        <v>110</v>
      </c>
      <c r="I27" s="11" t="s">
        <v>90</v>
      </c>
      <c r="J27" s="10">
        <v>1</v>
      </c>
      <c r="K27" s="10"/>
    </row>
    <row r="28" ht="15.75" spans="1:11">
      <c r="A28" s="3"/>
      <c r="B28" s="8">
        <f t="shared" si="0"/>
        <v>26</v>
      </c>
      <c r="C28" s="14" t="s">
        <v>111</v>
      </c>
      <c r="D28" s="12" t="s">
        <v>121</v>
      </c>
      <c r="E28" s="13" t="s">
        <v>113</v>
      </c>
      <c r="F28" s="12" t="s">
        <v>109</v>
      </c>
      <c r="G28" s="13" t="s">
        <v>122</v>
      </c>
      <c r="H28" s="12" t="s">
        <v>110</v>
      </c>
      <c r="I28" s="13" t="s">
        <v>90</v>
      </c>
      <c r="J28" s="12">
        <v>1</v>
      </c>
      <c r="K28" s="12"/>
    </row>
    <row r="29" ht="48.75" spans="1:11">
      <c r="A29" s="3"/>
      <c r="B29" s="8">
        <f t="shared" si="0"/>
        <v>27</v>
      </c>
      <c r="C29" s="14" t="s">
        <v>111</v>
      </c>
      <c r="D29" s="10" t="s">
        <v>123</v>
      </c>
      <c r="E29" s="11" t="s">
        <v>124</v>
      </c>
      <c r="F29" s="12" t="s">
        <v>109</v>
      </c>
      <c r="G29" s="11" t="s">
        <v>125</v>
      </c>
      <c r="H29" s="10" t="s">
        <v>126</v>
      </c>
      <c r="I29" s="11" t="s">
        <v>90</v>
      </c>
      <c r="J29" s="10">
        <v>1</v>
      </c>
      <c r="K29" s="10"/>
    </row>
    <row r="30" ht="15.75" spans="1:11">
      <c r="A30" s="3"/>
      <c r="B30" s="8">
        <f t="shared" si="0"/>
        <v>28</v>
      </c>
      <c r="C30" s="14" t="s">
        <v>111</v>
      </c>
      <c r="D30" s="12" t="s">
        <v>127</v>
      </c>
      <c r="E30" s="13" t="s">
        <v>128</v>
      </c>
      <c r="F30" s="12" t="s">
        <v>109</v>
      </c>
      <c r="G30" s="13" t="s">
        <v>129</v>
      </c>
      <c r="H30" s="12" t="s">
        <v>110</v>
      </c>
      <c r="I30" s="13" t="s">
        <v>90</v>
      </c>
      <c r="J30" s="12">
        <v>1</v>
      </c>
      <c r="K30" s="12"/>
    </row>
    <row r="31" ht="15.75" spans="1:11">
      <c r="A31" s="3"/>
      <c r="B31" s="8">
        <f t="shared" si="0"/>
        <v>29</v>
      </c>
      <c r="C31" s="9" t="s">
        <v>130</v>
      </c>
      <c r="D31" s="10" t="s">
        <v>131</v>
      </c>
      <c r="E31" s="11" t="s">
        <v>132</v>
      </c>
      <c r="F31" s="10" t="s">
        <v>13</v>
      </c>
      <c r="G31" s="11" t="s">
        <v>133</v>
      </c>
      <c r="H31" s="10" t="s">
        <v>134</v>
      </c>
      <c r="I31" s="11" t="s">
        <v>135</v>
      </c>
      <c r="J31" s="10">
        <v>1</v>
      </c>
      <c r="K31" s="10"/>
    </row>
    <row r="32" ht="15.75" spans="1:11">
      <c r="A32" s="3"/>
      <c r="B32" s="8">
        <f t="shared" si="0"/>
        <v>30</v>
      </c>
      <c r="C32" s="14" t="s">
        <v>130</v>
      </c>
      <c r="D32" s="12" t="s">
        <v>136</v>
      </c>
      <c r="E32" s="13" t="s">
        <v>137</v>
      </c>
      <c r="F32" s="12" t="s">
        <v>13</v>
      </c>
      <c r="G32" s="13" t="s">
        <v>138</v>
      </c>
      <c r="H32" s="12" t="s">
        <v>139</v>
      </c>
      <c r="I32" s="13" t="s">
        <v>140</v>
      </c>
      <c r="J32" s="12">
        <v>1</v>
      </c>
      <c r="K32" s="12"/>
    </row>
    <row r="33" ht="15.75" spans="1:11">
      <c r="A33" s="3"/>
      <c r="B33" s="8">
        <f t="shared" si="0"/>
        <v>31</v>
      </c>
      <c r="C33" s="9" t="s">
        <v>130</v>
      </c>
      <c r="D33" s="10" t="s">
        <v>141</v>
      </c>
      <c r="E33" s="11" t="s">
        <v>142</v>
      </c>
      <c r="F33" s="10" t="s">
        <v>13</v>
      </c>
      <c r="G33" s="11" t="s">
        <v>143</v>
      </c>
      <c r="H33" s="10" t="s">
        <v>134</v>
      </c>
      <c r="I33" s="11" t="s">
        <v>144</v>
      </c>
      <c r="J33" s="10">
        <v>1</v>
      </c>
      <c r="K33" s="10"/>
    </row>
    <row r="34" ht="24.75" spans="1:11">
      <c r="A34" s="3"/>
      <c r="B34" s="8">
        <f t="shared" si="0"/>
        <v>32</v>
      </c>
      <c r="C34" s="14" t="s">
        <v>145</v>
      </c>
      <c r="D34" s="12" t="s">
        <v>146</v>
      </c>
      <c r="E34" s="13" t="s">
        <v>147</v>
      </c>
      <c r="F34" s="12" t="s">
        <v>148</v>
      </c>
      <c r="G34" s="13" t="s">
        <v>149</v>
      </c>
      <c r="H34" s="12" t="s">
        <v>150</v>
      </c>
      <c r="I34" s="13" t="s">
        <v>90</v>
      </c>
      <c r="J34" s="12">
        <v>3</v>
      </c>
      <c r="K34" s="12"/>
    </row>
    <row r="35" ht="24.75" spans="1:11">
      <c r="A35" s="3"/>
      <c r="B35" s="8">
        <f t="shared" si="0"/>
        <v>33</v>
      </c>
      <c r="C35" s="9" t="s">
        <v>151</v>
      </c>
      <c r="D35" s="10" t="s">
        <v>152</v>
      </c>
      <c r="E35" s="11" t="s">
        <v>153</v>
      </c>
      <c r="F35" s="10" t="s">
        <v>154</v>
      </c>
      <c r="G35" s="11" t="s">
        <v>155</v>
      </c>
      <c r="H35" s="10" t="s">
        <v>156</v>
      </c>
      <c r="I35" s="11" t="s">
        <v>90</v>
      </c>
      <c r="J35" s="10">
        <v>3</v>
      </c>
      <c r="K35" s="10"/>
    </row>
    <row r="36" ht="24.75" spans="1:11">
      <c r="A36" s="3"/>
      <c r="B36" s="8">
        <f t="shared" si="0"/>
        <v>34</v>
      </c>
      <c r="C36" s="14" t="s">
        <v>151</v>
      </c>
      <c r="D36" s="12" t="s">
        <v>157</v>
      </c>
      <c r="E36" s="13" t="s">
        <v>158</v>
      </c>
      <c r="F36" s="12" t="s">
        <v>159</v>
      </c>
      <c r="G36" s="13" t="s">
        <v>160</v>
      </c>
      <c r="H36" s="12" t="s">
        <v>161</v>
      </c>
      <c r="I36" s="13" t="s">
        <v>90</v>
      </c>
      <c r="J36" s="12">
        <v>1</v>
      </c>
      <c r="K36" s="12"/>
    </row>
    <row r="37" ht="36.75" spans="1:11">
      <c r="A37" s="3"/>
      <c r="B37" s="8">
        <f t="shared" si="0"/>
        <v>35</v>
      </c>
      <c r="C37" s="9" t="s">
        <v>151</v>
      </c>
      <c r="D37" s="10" t="s">
        <v>162</v>
      </c>
      <c r="E37" s="11" t="s">
        <v>163</v>
      </c>
      <c r="F37" s="12" t="s">
        <v>164</v>
      </c>
      <c r="G37" s="11" t="s">
        <v>165</v>
      </c>
      <c r="H37" s="10" t="s">
        <v>166</v>
      </c>
      <c r="I37" s="11" t="s">
        <v>90</v>
      </c>
      <c r="J37" s="10">
        <v>4</v>
      </c>
      <c r="K37" s="10"/>
    </row>
    <row r="38" ht="15.75" spans="1:11">
      <c r="A38" s="3"/>
      <c r="B38" s="8">
        <f>ROW(B38)-ROW($B$2)</f>
        <v>36</v>
      </c>
      <c r="C38" s="18" t="s">
        <v>167</v>
      </c>
      <c r="D38" s="19" t="s">
        <v>168</v>
      </c>
      <c r="E38" s="20" t="s">
        <v>169</v>
      </c>
      <c r="F38" s="19" t="s">
        <v>170</v>
      </c>
      <c r="G38" s="20" t="s">
        <v>171</v>
      </c>
      <c r="H38" s="19" t="s">
        <v>31</v>
      </c>
      <c r="I38" s="20" t="s">
        <v>172</v>
      </c>
      <c r="J38" s="19">
        <v>5</v>
      </c>
      <c r="K38" s="19"/>
    </row>
    <row r="39" s="1" customFormat="1" ht="15.75" spans="1:11">
      <c r="A39" s="21"/>
      <c r="B39" s="8">
        <f>ROW(B39)-ROW($B$2)</f>
        <v>37</v>
      </c>
      <c r="C39" s="18" t="s">
        <v>167</v>
      </c>
      <c r="D39" s="10" t="s">
        <v>173</v>
      </c>
      <c r="E39" s="10" t="s">
        <v>174</v>
      </c>
      <c r="F39" s="10" t="s">
        <v>170</v>
      </c>
      <c r="G39" s="10" t="s">
        <v>175</v>
      </c>
      <c r="H39" s="10" t="s">
        <v>176</v>
      </c>
      <c r="I39" s="10" t="s">
        <v>177</v>
      </c>
      <c r="J39" s="10">
        <v>2</v>
      </c>
      <c r="K39" s="26"/>
    </row>
    <row r="40" ht="24.75" spans="1:11">
      <c r="A40" s="3"/>
      <c r="B40" s="8">
        <f>ROW(B40)-ROW($B$2)</f>
        <v>38</v>
      </c>
      <c r="C40" s="18" t="s">
        <v>167</v>
      </c>
      <c r="D40" s="19" t="s">
        <v>178</v>
      </c>
      <c r="E40" s="20" t="s">
        <v>179</v>
      </c>
      <c r="F40" s="19" t="s">
        <v>180</v>
      </c>
      <c r="G40" s="20" t="s">
        <v>181</v>
      </c>
      <c r="H40" s="19" t="s">
        <v>182</v>
      </c>
      <c r="I40" s="20" t="s">
        <v>172</v>
      </c>
      <c r="J40" s="19">
        <v>14</v>
      </c>
      <c r="K40" s="19"/>
    </row>
    <row r="41" ht="15.75" spans="1:11">
      <c r="A41" s="3"/>
      <c r="B41" s="8">
        <v>39</v>
      </c>
      <c r="C41" s="18" t="s">
        <v>167</v>
      </c>
      <c r="D41" s="12" t="s">
        <v>183</v>
      </c>
      <c r="E41" s="13" t="s">
        <v>184</v>
      </c>
      <c r="F41" s="19" t="s">
        <v>180</v>
      </c>
      <c r="G41" s="13" t="s">
        <v>185</v>
      </c>
      <c r="H41" s="12" t="s">
        <v>186</v>
      </c>
      <c r="I41" s="13" t="s">
        <v>172</v>
      </c>
      <c r="J41" s="12">
        <v>4</v>
      </c>
      <c r="K41" s="12"/>
    </row>
    <row r="42" ht="36.75" spans="1:11">
      <c r="A42" s="3"/>
      <c r="B42" s="8">
        <f>ROW(B42)-ROW($B$2)</f>
        <v>40</v>
      </c>
      <c r="C42" s="14" t="s">
        <v>167</v>
      </c>
      <c r="D42" s="12" t="s">
        <v>187</v>
      </c>
      <c r="E42" s="13" t="s">
        <v>188</v>
      </c>
      <c r="F42" s="12" t="s">
        <v>189</v>
      </c>
      <c r="G42" s="13" t="s">
        <v>190</v>
      </c>
      <c r="H42" s="12" t="s">
        <v>191</v>
      </c>
      <c r="I42" s="13" t="s">
        <v>192</v>
      </c>
      <c r="J42" s="12">
        <v>2</v>
      </c>
      <c r="K42" s="12"/>
    </row>
    <row r="43" ht="15.75" spans="1:11">
      <c r="A43" s="3"/>
      <c r="B43" s="8">
        <f>ROW(B43)-ROW($B$2)</f>
        <v>41</v>
      </c>
      <c r="C43" s="9" t="s">
        <v>167</v>
      </c>
      <c r="D43" s="10" t="s">
        <v>193</v>
      </c>
      <c r="E43" s="11" t="s">
        <v>194</v>
      </c>
      <c r="F43" s="10" t="s">
        <v>195</v>
      </c>
      <c r="G43" s="11" t="s">
        <v>196</v>
      </c>
      <c r="H43" s="10" t="s">
        <v>31</v>
      </c>
      <c r="I43" s="11" t="s">
        <v>197</v>
      </c>
      <c r="J43" s="10">
        <v>7</v>
      </c>
      <c r="K43" s="10"/>
    </row>
    <row r="44" ht="15.75" spans="1:11">
      <c r="A44" s="3"/>
      <c r="B44" s="8">
        <f>ROW(B44)-ROW($B$2)</f>
        <v>42</v>
      </c>
      <c r="C44" s="18" t="s">
        <v>167</v>
      </c>
      <c r="D44" s="19" t="s">
        <v>198</v>
      </c>
      <c r="E44" s="20" t="s">
        <v>199</v>
      </c>
      <c r="F44" s="19" t="s">
        <v>180</v>
      </c>
      <c r="G44" s="20" t="s">
        <v>200</v>
      </c>
      <c r="H44" s="19" t="s">
        <v>31</v>
      </c>
      <c r="I44" s="20" t="s">
        <v>172</v>
      </c>
      <c r="J44" s="19">
        <v>1</v>
      </c>
      <c r="K44" s="19"/>
    </row>
    <row r="45" ht="15.75" spans="1:11">
      <c r="A45" s="3"/>
      <c r="B45" s="8">
        <f>ROW(B45)-ROW($B$2)</f>
        <v>43</v>
      </c>
      <c r="C45" s="9" t="s">
        <v>167</v>
      </c>
      <c r="D45" s="10" t="s">
        <v>201</v>
      </c>
      <c r="E45" s="11" t="s">
        <v>202</v>
      </c>
      <c r="F45" s="10" t="s">
        <v>180</v>
      </c>
      <c r="G45" s="11" t="s">
        <v>203</v>
      </c>
      <c r="H45" s="10" t="s">
        <v>31</v>
      </c>
      <c r="I45" s="11" t="s">
        <v>204</v>
      </c>
      <c r="J45" s="10">
        <v>4</v>
      </c>
      <c r="K45" s="10"/>
    </row>
    <row r="46" ht="24.75" spans="1:11">
      <c r="A46" s="3"/>
      <c r="B46" s="8">
        <f>ROW(B46)-ROW($B$2)</f>
        <v>44</v>
      </c>
      <c r="C46" s="14" t="s">
        <v>167</v>
      </c>
      <c r="D46" s="10" t="s">
        <v>205</v>
      </c>
      <c r="E46" s="11" t="s">
        <v>206</v>
      </c>
      <c r="F46" s="10" t="s">
        <v>180</v>
      </c>
      <c r="G46" s="11" t="s">
        <v>207</v>
      </c>
      <c r="H46" s="12" t="s">
        <v>208</v>
      </c>
      <c r="I46" s="11" t="s">
        <v>209</v>
      </c>
      <c r="J46" s="10">
        <v>2</v>
      </c>
      <c r="K46" s="10"/>
    </row>
    <row r="47" ht="15.75" spans="1:11">
      <c r="A47" s="3"/>
      <c r="B47" s="8">
        <f>ROW(B47)-ROW($B$2)</f>
        <v>45</v>
      </c>
      <c r="C47" s="14" t="s">
        <v>167</v>
      </c>
      <c r="D47" s="10" t="s">
        <v>210</v>
      </c>
      <c r="E47" s="11" t="s">
        <v>211</v>
      </c>
      <c r="F47" s="10" t="s">
        <v>180</v>
      </c>
      <c r="G47" s="11" t="s">
        <v>212</v>
      </c>
      <c r="H47" s="10" t="s">
        <v>31</v>
      </c>
      <c r="I47" s="11" t="s">
        <v>213</v>
      </c>
      <c r="J47" s="10">
        <v>4</v>
      </c>
      <c r="K47" s="10"/>
    </row>
    <row r="48" ht="24.75" spans="1:11">
      <c r="A48" s="3"/>
      <c r="B48" s="8">
        <f>ROW(B48)-ROW($B$2)</f>
        <v>46</v>
      </c>
      <c r="C48" s="14" t="s">
        <v>167</v>
      </c>
      <c r="D48" s="12" t="s">
        <v>214</v>
      </c>
      <c r="E48" s="11" t="s">
        <v>215</v>
      </c>
      <c r="F48" s="12" t="s">
        <v>180</v>
      </c>
      <c r="G48" s="13" t="s">
        <v>216</v>
      </c>
      <c r="H48" s="12" t="s">
        <v>208</v>
      </c>
      <c r="I48" s="13" t="s">
        <v>217</v>
      </c>
      <c r="J48" s="12">
        <v>1</v>
      </c>
      <c r="K48" s="12"/>
    </row>
    <row r="49" ht="24.75" spans="1:11">
      <c r="A49" s="3"/>
      <c r="B49" s="8">
        <f>ROW(B49)-ROW($B$2)</f>
        <v>47</v>
      </c>
      <c r="C49" s="14" t="s">
        <v>167</v>
      </c>
      <c r="D49" s="10" t="s">
        <v>218</v>
      </c>
      <c r="E49" s="11" t="s">
        <v>219</v>
      </c>
      <c r="F49" s="10" t="s">
        <v>180</v>
      </c>
      <c r="G49" s="11" t="s">
        <v>220</v>
      </c>
      <c r="H49" s="12" t="s">
        <v>208</v>
      </c>
      <c r="I49" s="11" t="s">
        <v>221</v>
      </c>
      <c r="J49" s="10">
        <v>1</v>
      </c>
      <c r="K49" s="10"/>
    </row>
    <row r="50" ht="24.75" spans="1:11">
      <c r="A50" s="3"/>
      <c r="B50" s="8">
        <f>ROW(B50)-ROW($B$2)</f>
        <v>48</v>
      </c>
      <c r="C50" s="14" t="s">
        <v>167</v>
      </c>
      <c r="D50" s="12" t="s">
        <v>222</v>
      </c>
      <c r="E50" s="13" t="s">
        <v>223</v>
      </c>
      <c r="F50" s="12" t="s">
        <v>195</v>
      </c>
      <c r="G50" s="13" t="s">
        <v>224</v>
      </c>
      <c r="H50" s="12" t="s">
        <v>225</v>
      </c>
      <c r="I50" s="13" t="s">
        <v>197</v>
      </c>
      <c r="J50" s="12">
        <v>1</v>
      </c>
      <c r="K50" s="12"/>
    </row>
    <row r="51" ht="36.75" spans="1:11">
      <c r="A51" s="3"/>
      <c r="B51" s="8">
        <f>ROW(B51)-ROW($B$2)</f>
        <v>49</v>
      </c>
      <c r="C51" s="9" t="s">
        <v>167</v>
      </c>
      <c r="D51" s="10" t="s">
        <v>226</v>
      </c>
      <c r="E51" s="11" t="s">
        <v>227</v>
      </c>
      <c r="F51" s="10" t="s">
        <v>228</v>
      </c>
      <c r="G51" s="11" t="s">
        <v>229</v>
      </c>
      <c r="H51" s="10" t="s">
        <v>230</v>
      </c>
      <c r="I51" s="11" t="s">
        <v>231</v>
      </c>
      <c r="J51" s="10">
        <v>1</v>
      </c>
      <c r="K51" s="10"/>
    </row>
    <row r="52" ht="36.75" spans="1:11">
      <c r="A52" s="3"/>
      <c r="B52" s="8">
        <f t="shared" ref="B52:B70" si="1">ROW(B52)-ROW($B$2)</f>
        <v>50</v>
      </c>
      <c r="C52" s="9" t="s">
        <v>167</v>
      </c>
      <c r="D52" s="10" t="s">
        <v>232</v>
      </c>
      <c r="E52" s="11" t="s">
        <v>233</v>
      </c>
      <c r="F52" s="10" t="s">
        <v>170</v>
      </c>
      <c r="G52" s="11" t="s">
        <v>234</v>
      </c>
      <c r="H52" s="10" t="s">
        <v>235</v>
      </c>
      <c r="I52" s="11" t="s">
        <v>236</v>
      </c>
      <c r="J52" s="10">
        <v>1</v>
      </c>
      <c r="K52" s="10"/>
    </row>
    <row r="53" ht="36.75" spans="1:11">
      <c r="A53" s="3"/>
      <c r="B53" s="8">
        <f t="shared" si="1"/>
        <v>51</v>
      </c>
      <c r="C53" s="14" t="s">
        <v>167</v>
      </c>
      <c r="D53" s="12" t="s">
        <v>237</v>
      </c>
      <c r="E53" s="13" t="s">
        <v>238</v>
      </c>
      <c r="F53" s="12" t="s">
        <v>170</v>
      </c>
      <c r="G53" s="13" t="s">
        <v>239</v>
      </c>
      <c r="H53" s="12" t="s">
        <v>240</v>
      </c>
      <c r="I53" s="13" t="s">
        <v>241</v>
      </c>
      <c r="J53" s="12">
        <v>1</v>
      </c>
      <c r="K53" s="12"/>
    </row>
    <row r="54" ht="36.75" spans="1:11">
      <c r="A54" s="3"/>
      <c r="B54" s="8">
        <f t="shared" si="1"/>
        <v>52</v>
      </c>
      <c r="C54" s="9" t="s">
        <v>167</v>
      </c>
      <c r="D54" s="10" t="s">
        <v>242</v>
      </c>
      <c r="E54" s="11" t="s">
        <v>243</v>
      </c>
      <c r="F54" s="10" t="s">
        <v>170</v>
      </c>
      <c r="G54" s="11" t="s">
        <v>244</v>
      </c>
      <c r="H54" s="10" t="s">
        <v>245</v>
      </c>
      <c r="I54" s="11" t="s">
        <v>246</v>
      </c>
      <c r="J54" s="10">
        <v>1</v>
      </c>
      <c r="K54" s="10"/>
    </row>
    <row r="55" ht="36.75" spans="1:11">
      <c r="A55" s="3"/>
      <c r="B55" s="8">
        <f t="shared" si="1"/>
        <v>53</v>
      </c>
      <c r="C55" s="9" t="s">
        <v>167</v>
      </c>
      <c r="D55" s="12" t="s">
        <v>247</v>
      </c>
      <c r="E55" s="13" t="s">
        <v>248</v>
      </c>
      <c r="F55" s="12" t="s">
        <v>170</v>
      </c>
      <c r="G55" s="13" t="s">
        <v>249</v>
      </c>
      <c r="H55" s="12" t="s">
        <v>250</v>
      </c>
      <c r="I55" s="13" t="s">
        <v>251</v>
      </c>
      <c r="J55" s="12">
        <v>1</v>
      </c>
      <c r="K55" s="12"/>
    </row>
    <row r="56" ht="36.75" spans="1:11">
      <c r="A56" s="3"/>
      <c r="B56" s="8">
        <f t="shared" si="1"/>
        <v>54</v>
      </c>
      <c r="C56" s="9" t="s">
        <v>167</v>
      </c>
      <c r="D56" s="10" t="s">
        <v>252</v>
      </c>
      <c r="E56" s="11" t="s">
        <v>253</v>
      </c>
      <c r="F56" s="10" t="s">
        <v>170</v>
      </c>
      <c r="G56" s="11" t="s">
        <v>254</v>
      </c>
      <c r="H56" s="10" t="s">
        <v>255</v>
      </c>
      <c r="I56" s="11" t="s">
        <v>256</v>
      </c>
      <c r="J56" s="10">
        <v>2</v>
      </c>
      <c r="K56" s="10"/>
    </row>
    <row r="57" ht="36.75" spans="1:11">
      <c r="A57" s="3"/>
      <c r="B57" s="8">
        <f t="shared" si="1"/>
        <v>55</v>
      </c>
      <c r="C57" s="14" t="s">
        <v>167</v>
      </c>
      <c r="D57" s="12" t="s">
        <v>257</v>
      </c>
      <c r="E57" s="13" t="s">
        <v>258</v>
      </c>
      <c r="F57" s="12" t="s">
        <v>170</v>
      </c>
      <c r="G57" s="13" t="s">
        <v>259</v>
      </c>
      <c r="H57" s="12" t="s">
        <v>260</v>
      </c>
      <c r="I57" s="13" t="s">
        <v>261</v>
      </c>
      <c r="J57" s="12">
        <v>2</v>
      </c>
      <c r="K57" s="12"/>
    </row>
    <row r="58" ht="15.75" spans="1:11">
      <c r="A58" s="3"/>
      <c r="B58" s="8">
        <f t="shared" si="1"/>
        <v>56</v>
      </c>
      <c r="C58" s="9" t="s">
        <v>167</v>
      </c>
      <c r="D58" s="10" t="s">
        <v>262</v>
      </c>
      <c r="E58" s="11" t="s">
        <v>263</v>
      </c>
      <c r="F58" s="10" t="s">
        <v>170</v>
      </c>
      <c r="G58" s="11" t="s">
        <v>264</v>
      </c>
      <c r="H58" s="10" t="s">
        <v>31</v>
      </c>
      <c r="I58" s="11" t="s">
        <v>265</v>
      </c>
      <c r="J58" s="10">
        <v>1</v>
      </c>
      <c r="K58" s="10"/>
    </row>
    <row r="59" ht="15.75" spans="1:11">
      <c r="A59" s="3"/>
      <c r="B59" s="8">
        <f t="shared" si="1"/>
        <v>57</v>
      </c>
      <c r="C59" s="9" t="s">
        <v>167</v>
      </c>
      <c r="D59" s="12" t="s">
        <v>266</v>
      </c>
      <c r="E59" s="13" t="s">
        <v>267</v>
      </c>
      <c r="F59" s="12" t="s">
        <v>170</v>
      </c>
      <c r="G59" s="13" t="s">
        <v>268</v>
      </c>
      <c r="H59" s="12" t="s">
        <v>31</v>
      </c>
      <c r="I59" s="13" t="s">
        <v>269</v>
      </c>
      <c r="J59" s="12">
        <v>1</v>
      </c>
      <c r="K59" s="12"/>
    </row>
    <row r="60" ht="24.75" spans="1:11">
      <c r="A60" s="3"/>
      <c r="B60" s="8">
        <f t="shared" si="1"/>
        <v>58</v>
      </c>
      <c r="C60" s="14" t="s">
        <v>167</v>
      </c>
      <c r="D60" s="22" t="s">
        <v>270</v>
      </c>
      <c r="E60" s="23" t="s">
        <v>267</v>
      </c>
      <c r="F60" s="22" t="s">
        <v>170</v>
      </c>
      <c r="G60" s="23" t="s">
        <v>268</v>
      </c>
      <c r="H60" s="24" t="s">
        <v>31</v>
      </c>
      <c r="I60" s="23" t="s">
        <v>83</v>
      </c>
      <c r="J60" s="22">
        <v>1</v>
      </c>
      <c r="K60" s="22" t="s">
        <v>84</v>
      </c>
    </row>
    <row r="61" ht="15.75" spans="1:11">
      <c r="A61" s="3"/>
      <c r="B61" s="8">
        <f t="shared" si="1"/>
        <v>59</v>
      </c>
      <c r="C61" s="14" t="s">
        <v>271</v>
      </c>
      <c r="D61" s="12" t="s">
        <v>272</v>
      </c>
      <c r="E61" s="13" t="s">
        <v>273</v>
      </c>
      <c r="F61" s="12" t="s">
        <v>274</v>
      </c>
      <c r="G61" s="13" t="s">
        <v>275</v>
      </c>
      <c r="H61" s="12" t="s">
        <v>276</v>
      </c>
      <c r="I61" s="13" t="s">
        <v>90</v>
      </c>
      <c r="J61" s="12">
        <v>1</v>
      </c>
      <c r="K61" s="12"/>
    </row>
    <row r="62" ht="36.75" spans="1:11">
      <c r="A62" s="3"/>
      <c r="B62" s="8">
        <f t="shared" si="1"/>
        <v>60</v>
      </c>
      <c r="C62" s="9" t="s">
        <v>271</v>
      </c>
      <c r="D62" s="10" t="s">
        <v>277</v>
      </c>
      <c r="E62" s="11" t="s">
        <v>278</v>
      </c>
      <c r="F62" s="10" t="s">
        <v>279</v>
      </c>
      <c r="G62" s="11" t="s">
        <v>280</v>
      </c>
      <c r="H62" s="10" t="s">
        <v>281</v>
      </c>
      <c r="I62" s="11" t="s">
        <v>90</v>
      </c>
      <c r="J62" s="10">
        <v>1</v>
      </c>
      <c r="K62" s="10"/>
    </row>
    <row r="63" ht="15.75" spans="1:11">
      <c r="A63" s="3"/>
      <c r="B63" s="8">
        <f t="shared" si="1"/>
        <v>61</v>
      </c>
      <c r="C63" s="14" t="s">
        <v>271</v>
      </c>
      <c r="D63" s="12" t="s">
        <v>282</v>
      </c>
      <c r="E63" s="13" t="s">
        <v>283</v>
      </c>
      <c r="F63" s="12" t="s">
        <v>284</v>
      </c>
      <c r="G63" s="13" t="s">
        <v>285</v>
      </c>
      <c r="H63" s="12" t="s">
        <v>286</v>
      </c>
      <c r="I63" s="13" t="s">
        <v>90</v>
      </c>
      <c r="J63" s="12">
        <v>1</v>
      </c>
      <c r="K63" s="12"/>
    </row>
    <row r="64" ht="15.75" spans="1:11">
      <c r="A64" s="3"/>
      <c r="B64" s="8">
        <f t="shared" si="1"/>
        <v>62</v>
      </c>
      <c r="C64" s="9" t="s">
        <v>271</v>
      </c>
      <c r="D64" s="10" t="s">
        <v>287</v>
      </c>
      <c r="E64" s="11" t="s">
        <v>288</v>
      </c>
      <c r="F64" s="10" t="s">
        <v>289</v>
      </c>
      <c r="G64" s="11" t="s">
        <v>290</v>
      </c>
      <c r="H64" s="10" t="s">
        <v>85</v>
      </c>
      <c r="I64" s="11" t="s">
        <v>90</v>
      </c>
      <c r="J64" s="10">
        <v>2</v>
      </c>
      <c r="K64" s="10"/>
    </row>
    <row r="65" ht="15.75" spans="1:11">
      <c r="A65" s="3"/>
      <c r="B65" s="8">
        <f t="shared" si="1"/>
        <v>63</v>
      </c>
      <c r="C65" s="9" t="s">
        <v>271</v>
      </c>
      <c r="D65" s="12" t="s">
        <v>291</v>
      </c>
      <c r="E65" s="13" t="s">
        <v>292</v>
      </c>
      <c r="F65" s="12" t="s">
        <v>293</v>
      </c>
      <c r="G65" s="13" t="s">
        <v>294</v>
      </c>
      <c r="H65" s="12" t="s">
        <v>295</v>
      </c>
      <c r="I65" s="13" t="s">
        <v>90</v>
      </c>
      <c r="J65" s="12">
        <v>1</v>
      </c>
      <c r="K65" s="12"/>
    </row>
    <row r="66" ht="15.75" spans="1:11">
      <c r="A66" s="3"/>
      <c r="B66" s="8">
        <f t="shared" si="1"/>
        <v>64</v>
      </c>
      <c r="C66" s="9" t="s">
        <v>271</v>
      </c>
      <c r="D66" s="10" t="s">
        <v>296</v>
      </c>
      <c r="E66" s="11" t="s">
        <v>297</v>
      </c>
      <c r="F66" s="10" t="s">
        <v>298</v>
      </c>
      <c r="G66" s="11" t="s">
        <v>299</v>
      </c>
      <c r="H66" s="10" t="s">
        <v>286</v>
      </c>
      <c r="I66" s="11" t="s">
        <v>90</v>
      </c>
      <c r="J66" s="10">
        <v>4</v>
      </c>
      <c r="K66" s="10"/>
    </row>
    <row r="67" ht="36.75" spans="1:11">
      <c r="A67" s="3"/>
      <c r="B67" s="8">
        <f t="shared" si="1"/>
        <v>65</v>
      </c>
      <c r="C67" s="9" t="s">
        <v>271</v>
      </c>
      <c r="D67" s="12" t="s">
        <v>300</v>
      </c>
      <c r="E67" s="13" t="s">
        <v>301</v>
      </c>
      <c r="F67" s="12" t="s">
        <v>302</v>
      </c>
      <c r="G67" s="13" t="s">
        <v>303</v>
      </c>
      <c r="H67" s="12" t="s">
        <v>286</v>
      </c>
      <c r="I67" s="13" t="s">
        <v>90</v>
      </c>
      <c r="J67" s="12">
        <v>1</v>
      </c>
      <c r="K67" s="12"/>
    </row>
    <row r="68" ht="15.75" spans="1:11">
      <c r="A68" s="3"/>
      <c r="B68" s="8">
        <f t="shared" si="1"/>
        <v>66</v>
      </c>
      <c r="C68" s="9" t="s">
        <v>304</v>
      </c>
      <c r="D68" s="10" t="s">
        <v>305</v>
      </c>
      <c r="E68" s="11" t="s">
        <v>306</v>
      </c>
      <c r="F68" s="10" t="s">
        <v>307</v>
      </c>
      <c r="G68" s="11" t="s">
        <v>308</v>
      </c>
      <c r="H68" s="10" t="s">
        <v>309</v>
      </c>
      <c r="I68" s="11" t="s">
        <v>90</v>
      </c>
      <c r="J68" s="10">
        <v>1</v>
      </c>
      <c r="K68" s="10"/>
    </row>
    <row r="69" ht="36.75" spans="1:11">
      <c r="A69" s="3"/>
      <c r="B69" s="8">
        <f t="shared" si="1"/>
        <v>67</v>
      </c>
      <c r="C69" s="14" t="s">
        <v>271</v>
      </c>
      <c r="D69" s="12" t="s">
        <v>310</v>
      </c>
      <c r="E69" s="13" t="s">
        <v>311</v>
      </c>
      <c r="F69" s="12" t="s">
        <v>312</v>
      </c>
      <c r="G69" s="13" t="s">
        <v>313</v>
      </c>
      <c r="H69" s="12" t="s">
        <v>314</v>
      </c>
      <c r="I69" s="13" t="s">
        <v>90</v>
      </c>
      <c r="J69" s="12">
        <v>1</v>
      </c>
      <c r="K69" s="12"/>
    </row>
    <row r="70" ht="24.75" spans="1:11">
      <c r="A70" s="3"/>
      <c r="B70" s="8">
        <f t="shared" si="1"/>
        <v>68</v>
      </c>
      <c r="C70" s="9" t="s">
        <v>271</v>
      </c>
      <c r="D70" s="10" t="s">
        <v>315</v>
      </c>
      <c r="E70" s="11" t="s">
        <v>316</v>
      </c>
      <c r="F70" s="10" t="s">
        <v>317</v>
      </c>
      <c r="G70" s="11" t="s">
        <v>318</v>
      </c>
      <c r="H70" s="10" t="s">
        <v>319</v>
      </c>
      <c r="I70" s="11" t="s">
        <v>90</v>
      </c>
      <c r="J70" s="10">
        <v>1</v>
      </c>
      <c r="K70" s="10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2024-08-13T14:10:31Z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80A282CFF3994EA18F98209A39FE76EC_12</vt:lpwstr>
  </property>
  <property fmtid="{D5CDD505-2E9C-101B-9397-08002B2CF9AE}" pid="3" name="KSOProductBuildVer">
    <vt:lpwstr>1033-12.2.0.17153</vt:lpwstr>
  </property>
</Properties>
</file>