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eyadkishawi-powerinterface\Design_Files\Interface_Board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56" i="1" l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<sst xmlns="http://schemas.openxmlformats.org/spreadsheetml/2006/main" count="387" uniqueCount="263">
  <si>
    <t>#</t>
  </si>
  <si>
    <t>Item Type</t>
  </si>
  <si>
    <t>Capacitor</t>
  </si>
  <si>
    <t>IC</t>
  </si>
  <si>
    <t>Diode</t>
  </si>
  <si>
    <t>Header</t>
  </si>
  <si>
    <t>Headers</t>
  </si>
  <si>
    <t>RF / Coaxial Connectors</t>
  </si>
  <si>
    <t>Connectors</t>
  </si>
  <si>
    <t>Inductors</t>
  </si>
  <si>
    <t>Inductor</t>
  </si>
  <si>
    <t>LED</t>
  </si>
  <si>
    <t>MOSFETs</t>
  </si>
  <si>
    <t>Resistor</t>
  </si>
  <si>
    <t>Module</t>
  </si>
  <si>
    <t>Microcontrollers</t>
  </si>
  <si>
    <t>Oscillators</t>
  </si>
  <si>
    <t>Designator</t>
  </si>
  <si>
    <t>C1, C2, C8, C10, C21, C23, C30, C31, C32, C33</t>
  </si>
  <si>
    <t>C3, C9, C11, C12, C13, C14, C15, C17, C18, C19, C20, C22, C24, C27, C29, C35, C37, C39, C41, C43, C45, C47, C49, C51, C54, C56, C58, C60, C62, C64, C66, C68, C69, C72, C74, C76, C78</t>
  </si>
  <si>
    <t>C4, C5</t>
  </si>
  <si>
    <t>C6, C26, C52, C73, C80</t>
  </si>
  <si>
    <t>C7, C71, C75, C77, C79</t>
  </si>
  <si>
    <t>C16, C25, C28</t>
  </si>
  <si>
    <t>C34</t>
  </si>
  <si>
    <t>C36, C38, C40, C42, C44, C46, C48, C50, C53, C55, C57, C59, C61, C63, C65, C67, C70</t>
  </si>
  <si>
    <t>D1, D2, D3, D4</t>
  </si>
  <si>
    <t>D5</t>
  </si>
  <si>
    <t>J4</t>
  </si>
  <si>
    <t>J6</t>
  </si>
  <si>
    <t>J10</t>
  </si>
  <si>
    <t>J11, J19, J22</t>
  </si>
  <si>
    <t>J16</t>
  </si>
  <si>
    <t>J21</t>
  </si>
  <si>
    <t>J31</t>
  </si>
  <si>
    <t>J45</t>
  </si>
  <si>
    <t>J56</t>
  </si>
  <si>
    <t>J68, J69</t>
  </si>
  <si>
    <t>L1</t>
  </si>
  <si>
    <t>L2</t>
  </si>
  <si>
    <t>LED1</t>
  </si>
  <si>
    <t>LED2</t>
  </si>
  <si>
    <t>Q1, Q2</t>
  </si>
  <si>
    <t>Q3, Q8, Q10, Q11, Q12</t>
  </si>
  <si>
    <t>Q4, Q5, Q6, Q7</t>
  </si>
  <si>
    <t>Q9</t>
  </si>
  <si>
    <t>R1, R2, R4, R10, R15, R16, R20, R21, R22, R23, R26, R29, R30, R31, R35, R36, R46, R47, R48, R49, R52, R53, R55, R56, R57</t>
  </si>
  <si>
    <t>R3</t>
  </si>
  <si>
    <t>R5, R6, R13, R14, R18, R19, R50, R51</t>
  </si>
  <si>
    <t>R7, R9, R43</t>
  </si>
  <si>
    <t>R8, R25, R33, R34, R45</t>
  </si>
  <si>
    <t>R11</t>
  </si>
  <si>
    <t>R12</t>
  </si>
  <si>
    <t>R17, R24, R28</t>
  </si>
  <si>
    <t>R27</t>
  </si>
  <si>
    <t>R32</t>
  </si>
  <si>
    <t>R37, R38, R40, R41</t>
  </si>
  <si>
    <t>R39</t>
  </si>
  <si>
    <t>R42</t>
  </si>
  <si>
    <t>R44</t>
  </si>
  <si>
    <t>R54</t>
  </si>
  <si>
    <t>R58, R59, R60, R61</t>
  </si>
  <si>
    <t>U1, U7, U8</t>
  </si>
  <si>
    <t>U2</t>
  </si>
  <si>
    <t>U3</t>
  </si>
  <si>
    <t>U4</t>
  </si>
  <si>
    <t>U5</t>
  </si>
  <si>
    <t>U6</t>
  </si>
  <si>
    <t>U9</t>
  </si>
  <si>
    <t>U10</t>
  </si>
  <si>
    <t>U11</t>
  </si>
  <si>
    <t>X1</t>
  </si>
  <si>
    <t>Description</t>
  </si>
  <si>
    <t>CAP CER 1UF 10V X5R 0402</t>
  </si>
  <si>
    <t>CAP CER 0.1UF 16V X7R 0402</t>
  </si>
  <si>
    <t>CAP CER 22UF 10V X5R 0402</t>
  </si>
  <si>
    <t>CAP CER 4.7UF 10V X5R 0402</t>
  </si>
  <si>
    <t>CAP CER 10UF 10V X5R 0402</t>
  </si>
  <si>
    <t>CAP CER 47UF 6.3V X5R 0805</t>
  </si>
  <si>
    <t>CAP CER 10000PF 16V X7R 0603</t>
  </si>
  <si>
    <t>Multilayer Ceramic Capacitor, 1000 pF, 16 V, ± 10%, X5R, 0402 [1005 Metric]</t>
  </si>
  <si>
    <t>Ultra-Low Capacitance TVS Diode Array, SOT-23-6L, RoHS</t>
  </si>
  <si>
    <t>AUTOMOTIVE DIODE ESD 3.3VWM 5.5V</t>
  </si>
  <si>
    <t>CONN HEADER R/A 6POS 2.5MM</t>
  </si>
  <si>
    <t>CONN HEADER R/A 14POS 2.54MM</t>
  </si>
  <si>
    <t>CONN HEADER R/A 10POS 2.5MM</t>
  </si>
  <si>
    <t>NANO-FIT HDR SMT RA SGL 5CKT 30A</t>
  </si>
  <si>
    <t>CONN HEADER R/A 3POS 2.5MM</t>
  </si>
  <si>
    <t>CONN HEADER R/A 4POS 2.5MM</t>
  </si>
  <si>
    <t>CONN SMA JACK STR 50 OHM PCB</t>
  </si>
  <si>
    <t>Gold Straight 12P 2.54mm 双排 2x6P Plugin,P=2.54mm Pin Headers ROHS</t>
  </si>
  <si>
    <t>CONN HEADER VERT 3POS 1.27MM</t>
  </si>
  <si>
    <t>CONN HEADER VERT 4POS 2.54MM</t>
  </si>
  <si>
    <t>FIXED IND 2.2UH 1.2A 96 MOHM SMD</t>
  </si>
  <si>
    <t>FIXED IND 27NH 360MA 550MOHM SMD</t>
  </si>
  <si>
    <t>RED LED 0603 Light Emitting Diodes</t>
  </si>
  <si>
    <t>Emerald 0603 Light Emitting Diodes (LED) ROHS</t>
  </si>
  <si>
    <t>20V 11.5A 12mΩ@11.5A,4.5V 1W 1.5V@250uA 1PCSPChannel SOIC-8 MOSFETs ROHS</t>
  </si>
  <si>
    <t>Small Signal Bipolar Transistor, 0.6A I(C), 40V V(BR)CEO, 1-Element, NPN, Silicon</t>
  </si>
  <si>
    <t>USBPOWERSWITCHTSOT25T&amp;R3K</t>
  </si>
  <si>
    <t>Transistor MOSFET P-CH 20V 3.1A 3-Pin SOT-23</t>
  </si>
  <si>
    <t>RES SMD 10K OHM 0.1% 1/16W 0402</t>
  </si>
  <si>
    <t>RES SMD 1.3K OHM 5% 1/10W 0402</t>
  </si>
  <si>
    <t>RES SMD 0 OHM JUMPER 1/5W 0402</t>
  </si>
  <si>
    <t>RES SMD 100K OHM 0.1% 1/16W 0402</t>
  </si>
  <si>
    <t>RES 1K OHM 1% 1/16W 0402</t>
  </si>
  <si>
    <t>RES 43K OHM 1% 1/16W 0402</t>
  </si>
  <si>
    <t>RES 49.9K OHM 1% 1/16W 0402</t>
  </si>
  <si>
    <t>SMD Chip Resistor, 330 Ohm, ± 1%, 63 mW, 0402 [1005 Metric], Thick Film, General Purpose</t>
  </si>
  <si>
    <t>62.5mW Thick Film Resistors ±100ppm/℃ ±0.1% 1MΩ 0402 Chip Resistor - Surface Mount ROHS</t>
  </si>
  <si>
    <t>Res Thick Film 0402 11K Ohm 1% 0.063W(1/16W) ±100ppm/C Pad SMD Automotive T/R</t>
  </si>
  <si>
    <t>SMD Chip Resistor, 27 Ohm, ± 1%, 63 mW, 0402 [1005 Metric], Thick Film, General Purpose</t>
  </si>
  <si>
    <t>RES 100 OHM 1% 1/16W 0402</t>
  </si>
  <si>
    <t>RES SMD 10 OHM 1% 1/5W 0402</t>
  </si>
  <si>
    <t>RES 12K OHM 1% 1/16W 0402</t>
  </si>
  <si>
    <t>Res Thick Film 0402 200K Ohm 5% 1/16W</t>
  </si>
  <si>
    <t>RES 0 OHM JUMPER 1/8W 0805</t>
  </si>
  <si>
    <t>LDO Regulator Pos 3.3V 0.25A 5-Pin SOT-23 T/R</t>
  </si>
  <si>
    <t>IC REG CHRG PUMP ADJ 200MA 8SOIC</t>
  </si>
  <si>
    <t>MAX3080 Series 115 kbps 5.25 V Full Duplex RS-485/RS-422 Transceiver - SOIC-14</t>
  </si>
  <si>
    <t>IC REG BUCK 1.2V 600MA SOT23-5</t>
  </si>
  <si>
    <t>IC TXRX RS232 460KBPS 10-UMAX</t>
  </si>
  <si>
    <t>Rf Receiver Gnss/gps 1.575GHZ</t>
  </si>
  <si>
    <t>IC SUPERVISOR 1 CHANNEL SOT23-3</t>
  </si>
  <si>
    <t>IC USB HUB CNTRLR 100VQFN</t>
  </si>
  <si>
    <t>IC MCU 8BIT 96KB FLASH 64TQFP</t>
  </si>
  <si>
    <t>XTAL OSC XO 25.0000MHZ CMOS SMD</t>
  </si>
  <si>
    <t>Footprint</t>
  </si>
  <si>
    <t>Cap-0402</t>
  </si>
  <si>
    <t>Cap-0805</t>
  </si>
  <si>
    <t>Cap-0603</t>
  </si>
  <si>
    <t>SOT-23-6</t>
  </si>
  <si>
    <t>Diode 0402</t>
  </si>
  <si>
    <t>N3314-5302RB</t>
  </si>
  <si>
    <t>SMA-J-P-H-ST-TH1</t>
  </si>
  <si>
    <t>HDR 2x6 Straight (2.54mm)</t>
  </si>
  <si>
    <t>HDR 1x3 Straight (1.27mm)</t>
  </si>
  <si>
    <t>NR3012T2R2M</t>
  </si>
  <si>
    <t>IND-0603 (1608 Metric)</t>
  </si>
  <si>
    <t>LED-0603</t>
  </si>
  <si>
    <t>SOIC-8</t>
  </si>
  <si>
    <t>MMBT2222ATT3G</t>
  </si>
  <si>
    <t>TSOT-25</t>
  </si>
  <si>
    <t>SOT-23</t>
  </si>
  <si>
    <t>Res-0402</t>
  </si>
  <si>
    <t>Res-0805</t>
  </si>
  <si>
    <t>SOT-23-5</t>
  </si>
  <si>
    <t>SOIC-8(0.154", 3.90mm Width)</t>
  </si>
  <si>
    <t>SOIC-14</t>
  </si>
  <si>
    <t>10-MSOP</t>
  </si>
  <si>
    <t>NEO-M8Q-01A</t>
  </si>
  <si>
    <t>100-VQFN (12x12)</t>
  </si>
  <si>
    <t>64-TQFP (10x10)</t>
  </si>
  <si>
    <t>SMD2520-4P</t>
  </si>
  <si>
    <t>Manufacturer Part Number</t>
  </si>
  <si>
    <t>CC0402KRX5R6BB105</t>
  </si>
  <si>
    <t>GRM155R71C104KA88D</t>
  </si>
  <si>
    <t>GRM158R61A226ME15D</t>
  </si>
  <si>
    <t>CC0402KRX5R6BB475</t>
  </si>
  <si>
    <t>CC0402MRX5R6BB106</t>
  </si>
  <si>
    <t>CC0805MKX5R5BB476</t>
  </si>
  <si>
    <t>CC0603KRX7R7BB103</t>
  </si>
  <si>
    <t>GRM155R61C102KA01D</t>
  </si>
  <si>
    <t>AOZ8904CIL</t>
  </si>
  <si>
    <t>ACPDQC3V3HT-HF</t>
  </si>
  <si>
    <t>105313-1306</t>
  </si>
  <si>
    <t>105314-1310</t>
  </si>
  <si>
    <t>105430-1305</t>
  </si>
  <si>
    <t>105313-1303</t>
  </si>
  <si>
    <t>105313-1304</t>
  </si>
  <si>
    <t>PZ2.54-2*6</t>
  </si>
  <si>
    <t>GRPB031VWVN-RC</t>
  </si>
  <si>
    <t>B82496C3270J000</t>
  </si>
  <si>
    <t>NCD0603R3</t>
  </si>
  <si>
    <t>NCD0603G2</t>
  </si>
  <si>
    <t>SI4463DY</t>
  </si>
  <si>
    <t>AP22816BKAWT-7</t>
  </si>
  <si>
    <t>SI2301CDS-T1-BE3</t>
  </si>
  <si>
    <t>RT0402BRD0710KL</t>
  </si>
  <si>
    <t>RCS04020000Z0ED</t>
  </si>
  <si>
    <t>RT0402BRD07100KL</t>
  </si>
  <si>
    <t>RC0402FR-071KL</t>
  </si>
  <si>
    <t>RC0402FR-0743KL</t>
  </si>
  <si>
    <t>RC0402FR-0749K9L</t>
  </si>
  <si>
    <t>CRCW0402330RFKEDC</t>
  </si>
  <si>
    <t>RTT021004BTH</t>
  </si>
  <si>
    <t>RMCF0402FT11K0</t>
  </si>
  <si>
    <t>CRGCQ0402F27R</t>
  </si>
  <si>
    <t>RC0402FR-07100RL</t>
  </si>
  <si>
    <t>CRCW040210R0FKEDHP</t>
  </si>
  <si>
    <t>RC0402FR-0712KL</t>
  </si>
  <si>
    <t>RC0402JR-07200KL</t>
  </si>
  <si>
    <t>RC0805FR-070RL</t>
  </si>
  <si>
    <t>LP5907MFX-3.3/NOPB</t>
  </si>
  <si>
    <t>MAX889RESA+</t>
  </si>
  <si>
    <t>MAX3080EESD+T</t>
  </si>
  <si>
    <t>LM3674MFX-1.2/NOPB</t>
  </si>
  <si>
    <t>MAX3311EEUB+T</t>
  </si>
  <si>
    <t>MIC803-29D4VM3-TR</t>
  </si>
  <si>
    <t>USB7002-I/KDX</t>
  </si>
  <si>
    <t>PIC18F6627T-E/PT</t>
  </si>
  <si>
    <t>ECS-2033-250-BN</t>
  </si>
  <si>
    <t>Manufacturer</t>
  </si>
  <si>
    <t>Yageo</t>
  </si>
  <si>
    <t>Murata</t>
  </si>
  <si>
    <t>Alpha &amp; Omega Semiconductor</t>
  </si>
  <si>
    <t>Comchip</t>
  </si>
  <si>
    <t>Molex</t>
  </si>
  <si>
    <t>3M</t>
  </si>
  <si>
    <t>Samtec</t>
  </si>
  <si>
    <t>ZHOURI</t>
  </si>
  <si>
    <t>Sullins</t>
  </si>
  <si>
    <t>Taiyo Yuden</t>
  </si>
  <si>
    <t>TDK EPCOS</t>
  </si>
  <si>
    <t>Foshan NationStar Optoelectronics</t>
  </si>
  <si>
    <t>ON Semiconductor / Fairchild</t>
  </si>
  <si>
    <t>ON Semiconductor</t>
  </si>
  <si>
    <t>Diodes</t>
  </si>
  <si>
    <t>Vishay</t>
  </si>
  <si>
    <t>Vishay Dale</t>
  </si>
  <si>
    <t>Vishay Semiconductors</t>
  </si>
  <si>
    <t>RALEC</t>
  </si>
  <si>
    <t>Stackpole Electronics</t>
  </si>
  <si>
    <t>TE Connectivity</t>
  </si>
  <si>
    <t>Texas Instruments</t>
  </si>
  <si>
    <t>Maxim</t>
  </si>
  <si>
    <t>TI National Semiconductor</t>
  </si>
  <si>
    <t>u-blox</t>
  </si>
  <si>
    <t>Microchip</t>
  </si>
  <si>
    <t>ECS International</t>
  </si>
  <si>
    <t>1uF</t>
  </si>
  <si>
    <t>0.1uF</t>
  </si>
  <si>
    <t>22uF</t>
  </si>
  <si>
    <t>4.7uF</t>
  </si>
  <si>
    <t>10uF</t>
  </si>
  <si>
    <t>47uF</t>
  </si>
  <si>
    <t>10nF</t>
  </si>
  <si>
    <t>1nF</t>
  </si>
  <si>
    <t>2.2uH</t>
  </si>
  <si>
    <t>27nH</t>
  </si>
  <si>
    <t>10K</t>
  </si>
  <si>
    <t>1.3K</t>
  </si>
  <si>
    <t>0R</t>
  </si>
  <si>
    <t>100K</t>
  </si>
  <si>
    <t>1K</t>
  </si>
  <si>
    <t>43K</t>
  </si>
  <si>
    <t>49.9K</t>
  </si>
  <si>
    <t>330R</t>
  </si>
  <si>
    <t>1M</t>
  </si>
  <si>
    <t>11K</t>
  </si>
  <si>
    <t>27R</t>
  </si>
  <si>
    <t>100R</t>
  </si>
  <si>
    <t>10R</t>
  </si>
  <si>
    <t>12K</t>
  </si>
  <si>
    <t>200K</t>
  </si>
  <si>
    <t>25MHz</t>
  </si>
  <si>
    <t>Quantity</t>
  </si>
  <si>
    <t>Value</t>
  </si>
  <si>
    <t>Remarks</t>
  </si>
  <si>
    <t>-</t>
  </si>
  <si>
    <t>ERJ-2GEJ132X</t>
  </si>
  <si>
    <t>Panasonic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</si>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</sst>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56"/>
  <sheetViews>
    <sheetView tabSelected="1" workbookViewId="0">
      <selection activeCell="F22" sqref="F22:F23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25.285156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17</v>
      </c>
      <c r="E2" s="6" t="s">
        <v>72</v>
      </c>
      <c r="F2" s="5" t="s">
        <v>127</v>
      </c>
      <c r="G2" s="6" t="s">
        <v>154</v>
      </c>
      <c r="H2" s="5" t="s">
        <v>202</v>
      </c>
      <c r="I2" s="6" t="s">
        <v>257</v>
      </c>
      <c r="J2" s="5" t="s">
        <v>256</v>
      </c>
      <c r="K2" s="5" t="s">
        <v>258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18</v>
      </c>
      <c r="E3" s="8" t="s">
        <v>73</v>
      </c>
      <c r="F3" s="7" t="s">
        <v>128</v>
      </c>
      <c r="G3" s="8" t="s">
        <v>155</v>
      </c>
      <c r="H3" s="7" t="s">
        <v>203</v>
      </c>
      <c r="I3" s="8" t="s">
        <v>230</v>
      </c>
      <c r="J3" s="7">
        <v>10</v>
      </c>
      <c r="K3" s="7"/>
    </row>
    <row r="4" spans="1:11" ht="48.75" thickBot="1" x14ac:dyDescent="0.3">
      <c r="A4" s="1"/>
      <c r="B4" s="11">
        <f t="shared" ref="B4:B56" si="0">ROW(B4) - ROW($B$2)</f>
        <v>2</v>
      </c>
      <c r="C4" s="13" t="s">
        <v>2</v>
      </c>
      <c r="D4" s="9" t="s">
        <v>19</v>
      </c>
      <c r="E4" s="10" t="s">
        <v>74</v>
      </c>
      <c r="F4" s="9" t="s">
        <v>128</v>
      </c>
      <c r="G4" s="10" t="s">
        <v>156</v>
      </c>
      <c r="H4" s="9" t="s">
        <v>204</v>
      </c>
      <c r="I4" s="10" t="s">
        <v>231</v>
      </c>
      <c r="J4" s="9">
        <v>37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20</v>
      </c>
      <c r="E5" s="8" t="s">
        <v>75</v>
      </c>
      <c r="F5" s="7" t="s">
        <v>128</v>
      </c>
      <c r="G5" s="8" t="s">
        <v>157</v>
      </c>
      <c r="H5" s="7" t="s">
        <v>204</v>
      </c>
      <c r="I5" s="8" t="s">
        <v>232</v>
      </c>
      <c r="J5" s="7">
        <v>2</v>
      </c>
      <c r="K5" s="7"/>
    </row>
    <row r="6" spans="1:11" ht="15.75" thickBot="1" x14ac:dyDescent="0.3">
      <c r="A6" s="1"/>
      <c r="B6" s="11">
        <f t="shared" si="0"/>
        <v>4</v>
      </c>
      <c r="C6" s="12" t="s">
        <v>2</v>
      </c>
      <c r="D6" s="9" t="s">
        <v>21</v>
      </c>
      <c r="E6" s="10" t="s">
        <v>76</v>
      </c>
      <c r="F6" s="9" t="s">
        <v>128</v>
      </c>
      <c r="G6" s="10" t="s">
        <v>158</v>
      </c>
      <c r="H6" s="9" t="s">
        <v>203</v>
      </c>
      <c r="I6" s="10" t="s">
        <v>233</v>
      </c>
      <c r="J6" s="9">
        <v>5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22</v>
      </c>
      <c r="E7" s="8" t="s">
        <v>77</v>
      </c>
      <c r="F7" s="7" t="s">
        <v>128</v>
      </c>
      <c r="G7" s="8" t="s">
        <v>159</v>
      </c>
      <c r="H7" s="7" t="s">
        <v>203</v>
      </c>
      <c r="I7" s="8" t="s">
        <v>234</v>
      </c>
      <c r="J7" s="7">
        <v>5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23</v>
      </c>
      <c r="E8" s="10" t="s">
        <v>78</v>
      </c>
      <c r="F8" s="9" t="s">
        <v>129</v>
      </c>
      <c r="G8" s="10" t="s">
        <v>160</v>
      </c>
      <c r="H8" s="9" t="s">
        <v>203</v>
      </c>
      <c r="I8" s="10" t="s">
        <v>235</v>
      </c>
      <c r="J8" s="9">
        <v>3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24</v>
      </c>
      <c r="E9" s="8" t="s">
        <v>79</v>
      </c>
      <c r="F9" s="7" t="s">
        <v>130</v>
      </c>
      <c r="G9" s="8" t="s">
        <v>161</v>
      </c>
      <c r="H9" s="7" t="s">
        <v>203</v>
      </c>
      <c r="I9" s="8" t="s">
        <v>236</v>
      </c>
      <c r="J9" s="7">
        <v>1</v>
      </c>
      <c r="K9" s="7"/>
    </row>
    <row r="10" spans="1:11" ht="36.75" thickBot="1" x14ac:dyDescent="0.3">
      <c r="A10" s="1"/>
      <c r="B10" s="11">
        <f t="shared" si="0"/>
        <v>8</v>
      </c>
      <c r="C10" s="12" t="s">
        <v>2</v>
      </c>
      <c r="D10" s="9" t="s">
        <v>25</v>
      </c>
      <c r="E10" s="10" t="s">
        <v>80</v>
      </c>
      <c r="F10" s="9" t="s">
        <v>128</v>
      </c>
      <c r="G10" s="10" t="s">
        <v>162</v>
      </c>
      <c r="H10" s="9" t="s">
        <v>204</v>
      </c>
      <c r="I10" s="10" t="s">
        <v>237</v>
      </c>
      <c r="J10" s="9">
        <v>17</v>
      </c>
      <c r="K10" s="9"/>
    </row>
    <row r="11" spans="1:11" ht="24.75" thickBot="1" x14ac:dyDescent="0.3">
      <c r="A11" s="1"/>
      <c r="B11" s="11">
        <f>ROW(B11) - ROW($B$2)</f>
        <v>9</v>
      </c>
      <c r="C11" s="12" t="s">
        <v>3</v>
      </c>
      <c r="D11" s="7" t="s">
        <v>26</v>
      </c>
      <c r="E11" s="8" t="s">
        <v>81</v>
      </c>
      <c r="F11" s="7" t="s">
        <v>131</v>
      </c>
      <c r="G11" s="8" t="s">
        <v>163</v>
      </c>
      <c r="H11" s="7" t="s">
        <v>205</v>
      </c>
      <c r="I11" s="8" t="s">
        <v>259</v>
      </c>
      <c r="J11" s="7">
        <v>4</v>
      </c>
      <c r="K11" s="7"/>
    </row>
    <row r="12" spans="1:11" ht="24.75" thickBot="1" x14ac:dyDescent="0.3">
      <c r="A12" s="1"/>
      <c r="B12" s="11">
        <f t="shared" si="0"/>
        <v>10</v>
      </c>
      <c r="C12" s="13" t="s">
        <v>4</v>
      </c>
      <c r="D12" s="9" t="s">
        <v>27</v>
      </c>
      <c r="E12" s="10" t="s">
        <v>82</v>
      </c>
      <c r="F12" s="9" t="s">
        <v>132</v>
      </c>
      <c r="G12" s="10" t="s">
        <v>164</v>
      </c>
      <c r="H12" s="9" t="s">
        <v>206</v>
      </c>
      <c r="I12" s="8" t="s">
        <v>259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5</v>
      </c>
      <c r="D13" s="7" t="s">
        <v>28</v>
      </c>
      <c r="E13" s="8" t="s">
        <v>83</v>
      </c>
      <c r="F13" s="7" t="s">
        <v>262</v>
      </c>
      <c r="G13" s="8" t="s">
        <v>165</v>
      </c>
      <c r="H13" s="7" t="s">
        <v>207</v>
      </c>
      <c r="I13" s="8" t="s">
        <v>259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6</v>
      </c>
      <c r="D14" s="9" t="s">
        <v>29</v>
      </c>
      <c r="E14" s="10" t="s">
        <v>84</v>
      </c>
      <c r="F14" s="7" t="s">
        <v>262</v>
      </c>
      <c r="G14" s="10" t="s">
        <v>133</v>
      </c>
      <c r="H14" s="9" t="s">
        <v>208</v>
      </c>
      <c r="I14" s="8" t="s">
        <v>259</v>
      </c>
      <c r="J14" s="9">
        <v>1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6</v>
      </c>
      <c r="D15" s="7" t="s">
        <v>30</v>
      </c>
      <c r="E15" s="8" t="s">
        <v>85</v>
      </c>
      <c r="F15" s="7" t="s">
        <v>262</v>
      </c>
      <c r="G15" s="8" t="s">
        <v>166</v>
      </c>
      <c r="H15" s="7" t="s">
        <v>207</v>
      </c>
      <c r="I15" s="8" t="s">
        <v>259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5</v>
      </c>
      <c r="D16" s="9" t="s">
        <v>31</v>
      </c>
      <c r="E16" s="10" t="s">
        <v>86</v>
      </c>
      <c r="F16" s="7" t="s">
        <v>262</v>
      </c>
      <c r="G16" s="10" t="s">
        <v>167</v>
      </c>
      <c r="H16" s="9" t="s">
        <v>207</v>
      </c>
      <c r="I16" s="8" t="s">
        <v>259</v>
      </c>
      <c r="J16" s="9">
        <v>3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5</v>
      </c>
      <c r="D17" s="7" t="s">
        <v>32</v>
      </c>
      <c r="E17" s="8" t="s">
        <v>87</v>
      </c>
      <c r="F17" s="7" t="s">
        <v>262</v>
      </c>
      <c r="G17" s="8" t="s">
        <v>168</v>
      </c>
      <c r="H17" s="7" t="s">
        <v>207</v>
      </c>
      <c r="I17" s="8" t="s">
        <v>259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5</v>
      </c>
      <c r="D18" s="9" t="s">
        <v>33</v>
      </c>
      <c r="E18" s="10" t="s">
        <v>88</v>
      </c>
      <c r="F18" s="7" t="s">
        <v>262</v>
      </c>
      <c r="G18" s="10" t="s">
        <v>169</v>
      </c>
      <c r="H18" s="9" t="s">
        <v>207</v>
      </c>
      <c r="I18" s="8" t="s">
        <v>259</v>
      </c>
      <c r="J18" s="9">
        <v>1</v>
      </c>
      <c r="K18" s="9"/>
    </row>
    <row r="19" spans="1:11" ht="26.25" thickBot="1" x14ac:dyDescent="0.3">
      <c r="A19" s="1"/>
      <c r="B19" s="11">
        <f>ROW(B19) - ROW($B$2)</f>
        <v>17</v>
      </c>
      <c r="C19" s="12" t="s">
        <v>7</v>
      </c>
      <c r="D19" s="7" t="s">
        <v>34</v>
      </c>
      <c r="E19" s="8" t="s">
        <v>89</v>
      </c>
      <c r="F19" s="7" t="s">
        <v>262</v>
      </c>
      <c r="G19" s="8" t="s">
        <v>134</v>
      </c>
      <c r="H19" s="7" t="s">
        <v>209</v>
      </c>
      <c r="I19" s="8" t="s">
        <v>259</v>
      </c>
      <c r="J19" s="7">
        <v>1</v>
      </c>
      <c r="K19" s="7"/>
    </row>
    <row r="20" spans="1:11" ht="24.75" thickBot="1" x14ac:dyDescent="0.3">
      <c r="A20" s="1"/>
      <c r="B20" s="11">
        <f t="shared" si="0"/>
        <v>18</v>
      </c>
      <c r="C20" s="13" t="s">
        <v>5</v>
      </c>
      <c r="D20" s="9" t="s">
        <v>35</v>
      </c>
      <c r="E20" s="10" t="s">
        <v>90</v>
      </c>
      <c r="F20" s="9" t="s">
        <v>135</v>
      </c>
      <c r="G20" s="10" t="s">
        <v>170</v>
      </c>
      <c r="H20" s="9" t="s">
        <v>210</v>
      </c>
      <c r="I20" s="8" t="s">
        <v>259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8</v>
      </c>
      <c r="D21" s="7" t="s">
        <v>36</v>
      </c>
      <c r="E21" s="8" t="s">
        <v>91</v>
      </c>
      <c r="F21" s="7" t="s">
        <v>136</v>
      </c>
      <c r="G21" s="8" t="s">
        <v>171</v>
      </c>
      <c r="H21" s="7" t="s">
        <v>211</v>
      </c>
      <c r="I21" s="8" t="s">
        <v>259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5</v>
      </c>
      <c r="D22" s="9" t="s">
        <v>37</v>
      </c>
      <c r="E22" s="10" t="s">
        <v>92</v>
      </c>
      <c r="F22" s="9" t="s">
        <v>262</v>
      </c>
      <c r="G22" s="10">
        <v>1718561004</v>
      </c>
      <c r="H22" s="9" t="s">
        <v>207</v>
      </c>
      <c r="I22" s="8" t="s">
        <v>259</v>
      </c>
      <c r="J22" s="9">
        <v>2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9</v>
      </c>
      <c r="D23" s="7" t="s">
        <v>38</v>
      </c>
      <c r="E23" s="8" t="s">
        <v>93</v>
      </c>
      <c r="F23" s="9" t="s">
        <v>262</v>
      </c>
      <c r="G23" s="8" t="s">
        <v>137</v>
      </c>
      <c r="H23" s="7" t="s">
        <v>212</v>
      </c>
      <c r="I23" s="8" t="s">
        <v>238</v>
      </c>
      <c r="J23" s="7">
        <v>1</v>
      </c>
      <c r="K23" s="7"/>
    </row>
    <row r="24" spans="1:11" ht="24.75" thickBot="1" x14ac:dyDescent="0.3">
      <c r="A24" s="1"/>
      <c r="B24" s="11">
        <f t="shared" si="0"/>
        <v>22</v>
      </c>
      <c r="C24" s="13" t="s">
        <v>10</v>
      </c>
      <c r="D24" s="9" t="s">
        <v>39</v>
      </c>
      <c r="E24" s="10" t="s">
        <v>94</v>
      </c>
      <c r="F24" s="9" t="s">
        <v>138</v>
      </c>
      <c r="G24" s="10" t="s">
        <v>172</v>
      </c>
      <c r="H24" s="9" t="s">
        <v>213</v>
      </c>
      <c r="I24" s="10" t="s">
        <v>239</v>
      </c>
      <c r="J24" s="9">
        <v>1</v>
      </c>
      <c r="K24" s="9"/>
    </row>
    <row r="25" spans="1:11" ht="24.75" thickBot="1" x14ac:dyDescent="0.3">
      <c r="A25" s="1"/>
      <c r="B25" s="11">
        <f>ROW(B25) - ROW($B$2)</f>
        <v>23</v>
      </c>
      <c r="C25" s="12" t="s">
        <v>11</v>
      </c>
      <c r="D25" s="7" t="s">
        <v>40</v>
      </c>
      <c r="E25" s="8" t="s">
        <v>95</v>
      </c>
      <c r="F25" s="7" t="s">
        <v>139</v>
      </c>
      <c r="G25" s="8" t="s">
        <v>173</v>
      </c>
      <c r="H25" s="7" t="s">
        <v>214</v>
      </c>
      <c r="I25" s="8" t="s">
        <v>259</v>
      </c>
      <c r="J25" s="7">
        <v>1</v>
      </c>
      <c r="K25" s="7"/>
    </row>
    <row r="26" spans="1:11" ht="24.75" thickBot="1" x14ac:dyDescent="0.3">
      <c r="A26" s="1"/>
      <c r="B26" s="11">
        <f t="shared" si="0"/>
        <v>24</v>
      </c>
      <c r="C26" s="13" t="s">
        <v>11</v>
      </c>
      <c r="D26" s="9" t="s">
        <v>41</v>
      </c>
      <c r="E26" s="10" t="s">
        <v>96</v>
      </c>
      <c r="F26" s="9" t="s">
        <v>139</v>
      </c>
      <c r="G26" s="10" t="s">
        <v>174</v>
      </c>
      <c r="H26" s="9" t="s">
        <v>214</v>
      </c>
      <c r="I26" s="8" t="s">
        <v>259</v>
      </c>
      <c r="J26" s="9">
        <v>1</v>
      </c>
      <c r="K26" s="9"/>
    </row>
    <row r="27" spans="1:11" ht="36.75" thickBot="1" x14ac:dyDescent="0.3">
      <c r="A27" s="1"/>
      <c r="B27" s="11">
        <f>ROW(B27) - ROW($B$2)</f>
        <v>25</v>
      </c>
      <c r="C27" s="12" t="s">
        <v>12</v>
      </c>
      <c r="D27" s="7" t="s">
        <v>42</v>
      </c>
      <c r="E27" s="8" t="s">
        <v>97</v>
      </c>
      <c r="F27" s="7" t="s">
        <v>140</v>
      </c>
      <c r="G27" s="8" t="s">
        <v>175</v>
      </c>
      <c r="H27" s="7" t="s">
        <v>215</v>
      </c>
      <c r="I27" s="8" t="s">
        <v>259</v>
      </c>
      <c r="J27" s="7">
        <v>2</v>
      </c>
      <c r="K27" s="7"/>
    </row>
    <row r="28" spans="1:11" ht="36.75" thickBot="1" x14ac:dyDescent="0.3">
      <c r="A28" s="1"/>
      <c r="B28" s="11">
        <f t="shared" si="0"/>
        <v>26</v>
      </c>
      <c r="C28" s="12" t="s">
        <v>12</v>
      </c>
      <c r="D28" s="9" t="s">
        <v>43</v>
      </c>
      <c r="E28" s="10" t="s">
        <v>98</v>
      </c>
      <c r="F28" s="9" t="s">
        <v>262</v>
      </c>
      <c r="G28" s="10" t="s">
        <v>141</v>
      </c>
      <c r="H28" s="9" t="s">
        <v>216</v>
      </c>
      <c r="I28" s="8" t="s">
        <v>259</v>
      </c>
      <c r="J28" s="9">
        <v>5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3</v>
      </c>
      <c r="D29" s="7" t="s">
        <v>44</v>
      </c>
      <c r="E29" s="8" t="s">
        <v>99</v>
      </c>
      <c r="F29" s="7" t="s">
        <v>142</v>
      </c>
      <c r="G29" s="8" t="s">
        <v>176</v>
      </c>
      <c r="H29" s="7" t="s">
        <v>217</v>
      </c>
      <c r="I29" s="8" t="s">
        <v>259</v>
      </c>
      <c r="J29" s="7">
        <v>4</v>
      </c>
      <c r="K29" s="7"/>
    </row>
    <row r="30" spans="1:11" ht="24.75" thickBot="1" x14ac:dyDescent="0.3">
      <c r="A30" s="1"/>
      <c r="B30" s="11">
        <f t="shared" si="0"/>
        <v>28</v>
      </c>
      <c r="C30" s="12" t="s">
        <v>12</v>
      </c>
      <c r="D30" s="9" t="s">
        <v>45</v>
      </c>
      <c r="E30" s="10" t="s">
        <v>100</v>
      </c>
      <c r="F30" s="9" t="s">
        <v>143</v>
      </c>
      <c r="G30" s="10" t="s">
        <v>177</v>
      </c>
      <c r="H30" s="9" t="s">
        <v>218</v>
      </c>
      <c r="I30" s="8" t="s">
        <v>259</v>
      </c>
      <c r="J30" s="9">
        <v>1</v>
      </c>
      <c r="K30" s="9"/>
    </row>
    <row r="31" spans="1:11" ht="36.75" thickBot="1" x14ac:dyDescent="0.3">
      <c r="A31" s="1"/>
      <c r="B31" s="11">
        <f>ROW(B31) - ROW($B$2)</f>
        <v>29</v>
      </c>
      <c r="C31" s="12" t="s">
        <v>13</v>
      </c>
      <c r="D31" s="7" t="s">
        <v>46</v>
      </c>
      <c r="E31" s="8" t="s">
        <v>101</v>
      </c>
      <c r="F31" s="7" t="s">
        <v>144</v>
      </c>
      <c r="G31" s="8" t="s">
        <v>178</v>
      </c>
      <c r="H31" s="7" t="s">
        <v>203</v>
      </c>
      <c r="I31" s="8" t="s">
        <v>240</v>
      </c>
      <c r="J31" s="7">
        <v>25</v>
      </c>
      <c r="K31" s="7"/>
    </row>
    <row r="32" spans="1:11" ht="15.75" thickBot="1" x14ac:dyDescent="0.3">
      <c r="A32" s="1"/>
      <c r="B32" s="11">
        <f t="shared" si="0"/>
        <v>30</v>
      </c>
      <c r="C32" s="12" t="s">
        <v>13</v>
      </c>
      <c r="D32" s="9" t="s">
        <v>47</v>
      </c>
      <c r="E32" s="10" t="s">
        <v>102</v>
      </c>
      <c r="F32" s="9" t="s">
        <v>144</v>
      </c>
      <c r="G32" s="10" t="s">
        <v>260</v>
      </c>
      <c r="H32" s="9" t="s">
        <v>261</v>
      </c>
      <c r="I32" s="10" t="s">
        <v>241</v>
      </c>
      <c r="J32" s="9">
        <v>1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13</v>
      </c>
      <c r="D33" s="7" t="s">
        <v>48</v>
      </c>
      <c r="E33" s="8" t="s">
        <v>103</v>
      </c>
      <c r="F33" s="7" t="s">
        <v>144</v>
      </c>
      <c r="G33" s="8" t="s">
        <v>179</v>
      </c>
      <c r="H33" s="7" t="s">
        <v>219</v>
      </c>
      <c r="I33" s="8" t="s">
        <v>242</v>
      </c>
      <c r="J33" s="7">
        <v>8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13</v>
      </c>
      <c r="D34" s="9" t="s">
        <v>49</v>
      </c>
      <c r="E34" s="10" t="s">
        <v>104</v>
      </c>
      <c r="F34" s="9" t="s">
        <v>144</v>
      </c>
      <c r="G34" s="10" t="s">
        <v>180</v>
      </c>
      <c r="H34" s="9" t="s">
        <v>203</v>
      </c>
      <c r="I34" s="10" t="s">
        <v>243</v>
      </c>
      <c r="J34" s="9">
        <v>3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13</v>
      </c>
      <c r="D35" s="7" t="s">
        <v>50</v>
      </c>
      <c r="E35" s="8" t="s">
        <v>105</v>
      </c>
      <c r="F35" s="7" t="s">
        <v>144</v>
      </c>
      <c r="G35" s="8" t="s">
        <v>181</v>
      </c>
      <c r="H35" s="7" t="s">
        <v>203</v>
      </c>
      <c r="I35" s="8" t="s">
        <v>244</v>
      </c>
      <c r="J35" s="7">
        <v>5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13</v>
      </c>
      <c r="D36" s="9" t="s">
        <v>51</v>
      </c>
      <c r="E36" s="10" t="s">
        <v>106</v>
      </c>
      <c r="F36" s="9" t="s">
        <v>144</v>
      </c>
      <c r="G36" s="10" t="s">
        <v>182</v>
      </c>
      <c r="H36" s="9" t="s">
        <v>203</v>
      </c>
      <c r="I36" s="10" t="s">
        <v>245</v>
      </c>
      <c r="J36" s="9">
        <v>1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13</v>
      </c>
      <c r="D37" s="7" t="s">
        <v>52</v>
      </c>
      <c r="E37" s="8" t="s">
        <v>107</v>
      </c>
      <c r="F37" s="7" t="s">
        <v>144</v>
      </c>
      <c r="G37" s="8" t="s">
        <v>183</v>
      </c>
      <c r="H37" s="7" t="s">
        <v>203</v>
      </c>
      <c r="I37" s="8" t="s">
        <v>246</v>
      </c>
      <c r="J37" s="7">
        <v>1</v>
      </c>
      <c r="K37" s="7"/>
    </row>
    <row r="38" spans="1:11" ht="36.75" thickBot="1" x14ac:dyDescent="0.3">
      <c r="A38" s="1"/>
      <c r="B38" s="11">
        <f t="shared" si="0"/>
        <v>36</v>
      </c>
      <c r="C38" s="12" t="s">
        <v>13</v>
      </c>
      <c r="D38" s="9" t="s">
        <v>53</v>
      </c>
      <c r="E38" s="10" t="s">
        <v>108</v>
      </c>
      <c r="F38" s="9" t="s">
        <v>144</v>
      </c>
      <c r="G38" s="10" t="s">
        <v>184</v>
      </c>
      <c r="H38" s="9" t="s">
        <v>220</v>
      </c>
      <c r="I38" s="10" t="s">
        <v>247</v>
      </c>
      <c r="J38" s="9">
        <v>3</v>
      </c>
      <c r="K38" s="9"/>
    </row>
    <row r="39" spans="1:11" ht="36.75" thickBot="1" x14ac:dyDescent="0.3">
      <c r="A39" s="1"/>
      <c r="B39" s="11">
        <f>ROW(B39) - ROW($B$2)</f>
        <v>37</v>
      </c>
      <c r="C39" s="12" t="s">
        <v>13</v>
      </c>
      <c r="D39" s="7" t="s">
        <v>54</v>
      </c>
      <c r="E39" s="8" t="s">
        <v>109</v>
      </c>
      <c r="F39" s="7" t="s">
        <v>144</v>
      </c>
      <c r="G39" s="8" t="s">
        <v>185</v>
      </c>
      <c r="H39" s="7" t="s">
        <v>221</v>
      </c>
      <c r="I39" s="8" t="s">
        <v>248</v>
      </c>
      <c r="J39" s="7">
        <v>1</v>
      </c>
      <c r="K39" s="7"/>
    </row>
    <row r="40" spans="1:11" ht="36.75" thickBot="1" x14ac:dyDescent="0.3">
      <c r="A40" s="1"/>
      <c r="B40" s="11">
        <f t="shared" si="0"/>
        <v>38</v>
      </c>
      <c r="C40" s="12" t="s">
        <v>13</v>
      </c>
      <c r="D40" s="9" t="s">
        <v>55</v>
      </c>
      <c r="E40" s="10" t="s">
        <v>110</v>
      </c>
      <c r="F40" s="9" t="s">
        <v>144</v>
      </c>
      <c r="G40" s="10" t="s">
        <v>186</v>
      </c>
      <c r="H40" s="9" t="s">
        <v>222</v>
      </c>
      <c r="I40" s="10" t="s">
        <v>249</v>
      </c>
      <c r="J40" s="9">
        <v>1</v>
      </c>
      <c r="K40" s="9"/>
    </row>
    <row r="41" spans="1:11" ht="36.75" thickBot="1" x14ac:dyDescent="0.3">
      <c r="A41" s="1"/>
      <c r="B41" s="11">
        <f>ROW(B41) - ROW($B$2)</f>
        <v>39</v>
      </c>
      <c r="C41" s="12" t="s">
        <v>13</v>
      </c>
      <c r="D41" s="7" t="s">
        <v>56</v>
      </c>
      <c r="E41" s="8" t="s">
        <v>111</v>
      </c>
      <c r="F41" s="7" t="s">
        <v>144</v>
      </c>
      <c r="G41" s="8" t="s">
        <v>187</v>
      </c>
      <c r="H41" s="7" t="s">
        <v>223</v>
      </c>
      <c r="I41" s="8" t="s">
        <v>250</v>
      </c>
      <c r="J41" s="7">
        <v>4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13</v>
      </c>
      <c r="D42" s="9" t="s">
        <v>57</v>
      </c>
      <c r="E42" s="10" t="s">
        <v>112</v>
      </c>
      <c r="F42" s="9" t="s">
        <v>144</v>
      </c>
      <c r="G42" s="10" t="s">
        <v>188</v>
      </c>
      <c r="H42" s="9" t="s">
        <v>203</v>
      </c>
      <c r="I42" s="10" t="s">
        <v>251</v>
      </c>
      <c r="J42" s="9">
        <v>1</v>
      </c>
      <c r="K42" s="9"/>
    </row>
    <row r="43" spans="1:11" ht="15.75" thickBot="1" x14ac:dyDescent="0.3">
      <c r="A43" s="1"/>
      <c r="B43" s="11">
        <f>ROW(B43) - ROW($B$2)</f>
        <v>41</v>
      </c>
      <c r="C43" s="13" t="s">
        <v>13</v>
      </c>
      <c r="D43" s="7" t="s">
        <v>58</v>
      </c>
      <c r="E43" s="8" t="s">
        <v>113</v>
      </c>
      <c r="F43" s="7" t="s">
        <v>144</v>
      </c>
      <c r="G43" s="8" t="s">
        <v>189</v>
      </c>
      <c r="H43" s="7" t="s">
        <v>219</v>
      </c>
      <c r="I43" s="8" t="s">
        <v>252</v>
      </c>
      <c r="J43" s="7">
        <v>1</v>
      </c>
      <c r="K43" s="7"/>
    </row>
    <row r="44" spans="1:11" ht="15.75" thickBot="1" x14ac:dyDescent="0.3">
      <c r="A44" s="1"/>
      <c r="B44" s="11">
        <f t="shared" si="0"/>
        <v>42</v>
      </c>
      <c r="C44" s="13" t="s">
        <v>13</v>
      </c>
      <c r="D44" s="9" t="s">
        <v>59</v>
      </c>
      <c r="E44" s="10" t="s">
        <v>114</v>
      </c>
      <c r="F44" s="9" t="s">
        <v>144</v>
      </c>
      <c r="G44" s="10" t="s">
        <v>190</v>
      </c>
      <c r="H44" s="9" t="s">
        <v>203</v>
      </c>
      <c r="I44" s="10" t="s">
        <v>253</v>
      </c>
      <c r="J44" s="9">
        <v>1</v>
      </c>
      <c r="K44" s="9"/>
    </row>
    <row r="45" spans="1:11" ht="24.75" thickBot="1" x14ac:dyDescent="0.3">
      <c r="A45" s="1"/>
      <c r="B45" s="11">
        <f>ROW(B45) - ROW($B$2)</f>
        <v>43</v>
      </c>
      <c r="C45" s="13" t="s">
        <v>13</v>
      </c>
      <c r="D45" s="7" t="s">
        <v>60</v>
      </c>
      <c r="E45" s="8" t="s">
        <v>115</v>
      </c>
      <c r="F45" s="7" t="s">
        <v>144</v>
      </c>
      <c r="G45" s="8" t="s">
        <v>191</v>
      </c>
      <c r="H45" s="7" t="s">
        <v>203</v>
      </c>
      <c r="I45" s="8" t="s">
        <v>254</v>
      </c>
      <c r="J45" s="7">
        <v>1</v>
      </c>
      <c r="K45" s="7"/>
    </row>
    <row r="46" spans="1:11" ht="15.75" thickBot="1" x14ac:dyDescent="0.3">
      <c r="A46" s="1"/>
      <c r="B46" s="11">
        <f t="shared" si="0"/>
        <v>44</v>
      </c>
      <c r="C46" s="13" t="s">
        <v>13</v>
      </c>
      <c r="D46" s="9" t="s">
        <v>61</v>
      </c>
      <c r="E46" s="10" t="s">
        <v>116</v>
      </c>
      <c r="F46" s="9" t="s">
        <v>145</v>
      </c>
      <c r="G46" s="10" t="s">
        <v>192</v>
      </c>
      <c r="H46" s="9" t="s">
        <v>203</v>
      </c>
      <c r="I46" s="10" t="s">
        <v>242</v>
      </c>
      <c r="J46" s="9">
        <v>4</v>
      </c>
      <c r="K46" s="9"/>
    </row>
    <row r="47" spans="1:11" ht="24.75" thickBot="1" x14ac:dyDescent="0.3">
      <c r="A47" s="1"/>
      <c r="B47" s="11">
        <f>ROW(B47) - ROW($B$2)</f>
        <v>45</v>
      </c>
      <c r="C47" s="12" t="s">
        <v>3</v>
      </c>
      <c r="D47" s="7" t="s">
        <v>62</v>
      </c>
      <c r="E47" s="8" t="s">
        <v>117</v>
      </c>
      <c r="F47" s="7" t="s">
        <v>146</v>
      </c>
      <c r="G47" s="8" t="s">
        <v>193</v>
      </c>
      <c r="H47" s="7" t="s">
        <v>224</v>
      </c>
      <c r="I47" s="8" t="s">
        <v>259</v>
      </c>
      <c r="J47" s="7">
        <v>3</v>
      </c>
      <c r="K47" s="7"/>
    </row>
    <row r="48" spans="1:11" ht="15.75" thickBot="1" x14ac:dyDescent="0.3">
      <c r="A48" s="1"/>
      <c r="B48" s="11">
        <f t="shared" si="0"/>
        <v>46</v>
      </c>
      <c r="C48" s="13" t="s">
        <v>3</v>
      </c>
      <c r="D48" s="9" t="s">
        <v>63</v>
      </c>
      <c r="E48" s="10" t="s">
        <v>118</v>
      </c>
      <c r="F48" s="9" t="s">
        <v>147</v>
      </c>
      <c r="G48" s="10" t="s">
        <v>194</v>
      </c>
      <c r="H48" s="9" t="s">
        <v>225</v>
      </c>
      <c r="I48" s="8" t="s">
        <v>259</v>
      </c>
      <c r="J48" s="9">
        <v>1</v>
      </c>
      <c r="K48" s="9"/>
    </row>
    <row r="49" spans="1:11" ht="36.75" thickBot="1" x14ac:dyDescent="0.3">
      <c r="A49" s="1"/>
      <c r="B49" s="11">
        <f>ROW(B49) - ROW($B$2)</f>
        <v>47</v>
      </c>
      <c r="C49" s="12" t="s">
        <v>3</v>
      </c>
      <c r="D49" s="7" t="s">
        <v>64</v>
      </c>
      <c r="E49" s="8" t="s">
        <v>119</v>
      </c>
      <c r="F49" s="7" t="s">
        <v>148</v>
      </c>
      <c r="G49" s="8" t="s">
        <v>195</v>
      </c>
      <c r="H49" s="7" t="s">
        <v>225</v>
      </c>
      <c r="I49" s="8" t="s">
        <v>259</v>
      </c>
      <c r="J49" s="7">
        <v>1</v>
      </c>
      <c r="K49" s="7"/>
    </row>
    <row r="50" spans="1:11" ht="24.75" thickBot="1" x14ac:dyDescent="0.3">
      <c r="A50" s="1"/>
      <c r="B50" s="11">
        <f t="shared" si="0"/>
        <v>48</v>
      </c>
      <c r="C50" s="13" t="s">
        <v>3</v>
      </c>
      <c r="D50" s="9" t="s">
        <v>65</v>
      </c>
      <c r="E50" s="10" t="s">
        <v>120</v>
      </c>
      <c r="F50" s="9" t="s">
        <v>146</v>
      </c>
      <c r="G50" s="10" t="s">
        <v>196</v>
      </c>
      <c r="H50" s="9" t="s">
        <v>226</v>
      </c>
      <c r="I50" s="8" t="s">
        <v>259</v>
      </c>
      <c r="J50" s="9">
        <v>1</v>
      </c>
      <c r="K50" s="9"/>
    </row>
    <row r="51" spans="1:11" ht="15.75" thickBot="1" x14ac:dyDescent="0.3">
      <c r="A51" s="1"/>
      <c r="B51" s="11">
        <f>ROW(B51) - ROW($B$2)</f>
        <v>49</v>
      </c>
      <c r="C51" s="12" t="s">
        <v>3</v>
      </c>
      <c r="D51" s="7" t="s">
        <v>66</v>
      </c>
      <c r="E51" s="8" t="s">
        <v>121</v>
      </c>
      <c r="F51" s="7" t="s">
        <v>149</v>
      </c>
      <c r="G51" s="8" t="s">
        <v>197</v>
      </c>
      <c r="H51" s="7" t="s">
        <v>225</v>
      </c>
      <c r="I51" s="8" t="s">
        <v>259</v>
      </c>
      <c r="J51" s="7">
        <v>1</v>
      </c>
      <c r="K51" s="7"/>
    </row>
    <row r="52" spans="1:11" ht="15.75" thickBot="1" x14ac:dyDescent="0.3">
      <c r="A52" s="1"/>
      <c r="B52" s="11">
        <f t="shared" si="0"/>
        <v>50</v>
      </c>
      <c r="C52" s="13" t="s">
        <v>14</v>
      </c>
      <c r="D52" s="9" t="s">
        <v>67</v>
      </c>
      <c r="E52" s="10" t="s">
        <v>122</v>
      </c>
      <c r="F52" s="9" t="s">
        <v>150</v>
      </c>
      <c r="G52" s="10" t="s">
        <v>150</v>
      </c>
      <c r="H52" s="9" t="s">
        <v>227</v>
      </c>
      <c r="I52" s="8" t="s">
        <v>259</v>
      </c>
      <c r="J52" s="9">
        <v>1</v>
      </c>
      <c r="K52" s="9"/>
    </row>
    <row r="53" spans="1:11" ht="15.75" thickBot="1" x14ac:dyDescent="0.3">
      <c r="A53" s="1"/>
      <c r="B53" s="11">
        <f>ROW(B53) - ROW($B$2)</f>
        <v>51</v>
      </c>
      <c r="C53" s="12" t="s">
        <v>3</v>
      </c>
      <c r="D53" s="7" t="s">
        <v>68</v>
      </c>
      <c r="E53" s="8" t="s">
        <v>123</v>
      </c>
      <c r="F53" s="7" t="s">
        <v>143</v>
      </c>
      <c r="G53" s="8" t="s">
        <v>198</v>
      </c>
      <c r="H53" s="7" t="s">
        <v>228</v>
      </c>
      <c r="I53" s="8" t="s">
        <v>259</v>
      </c>
      <c r="J53" s="7">
        <v>1</v>
      </c>
      <c r="K53" s="7"/>
    </row>
    <row r="54" spans="1:11" ht="15.75" thickBot="1" x14ac:dyDescent="0.3">
      <c r="A54" s="1"/>
      <c r="B54" s="11">
        <f t="shared" si="0"/>
        <v>52</v>
      </c>
      <c r="C54" s="13" t="s">
        <v>3</v>
      </c>
      <c r="D54" s="9" t="s">
        <v>69</v>
      </c>
      <c r="E54" s="10" t="s">
        <v>124</v>
      </c>
      <c r="F54" s="9" t="s">
        <v>151</v>
      </c>
      <c r="G54" s="10" t="s">
        <v>199</v>
      </c>
      <c r="H54" s="9" t="s">
        <v>228</v>
      </c>
      <c r="I54" s="8" t="s">
        <v>259</v>
      </c>
      <c r="J54" s="9">
        <v>1</v>
      </c>
      <c r="K54" s="9"/>
    </row>
    <row r="55" spans="1:11" ht="15.75" thickBot="1" x14ac:dyDescent="0.3">
      <c r="A55" s="1"/>
      <c r="B55" s="11">
        <f>ROW(B55) - ROW($B$2)</f>
        <v>53</v>
      </c>
      <c r="C55" s="12" t="s">
        <v>15</v>
      </c>
      <c r="D55" s="7" t="s">
        <v>70</v>
      </c>
      <c r="E55" s="8" t="s">
        <v>125</v>
      </c>
      <c r="F55" s="7" t="s">
        <v>152</v>
      </c>
      <c r="G55" s="8" t="s">
        <v>200</v>
      </c>
      <c r="H55" s="7" t="s">
        <v>228</v>
      </c>
      <c r="I55" s="8" t="s">
        <v>259</v>
      </c>
      <c r="J55" s="7">
        <v>1</v>
      </c>
      <c r="K55" s="7"/>
    </row>
    <row r="56" spans="1:11" ht="15.75" thickBot="1" x14ac:dyDescent="0.3">
      <c r="A56" s="1"/>
      <c r="B56" s="11">
        <f t="shared" si="0"/>
        <v>54</v>
      </c>
      <c r="C56" s="13" t="s">
        <v>16</v>
      </c>
      <c r="D56" s="9" t="s">
        <v>71</v>
      </c>
      <c r="E56" s="10" t="s">
        <v>126</v>
      </c>
      <c r="F56" s="9" t="s">
        <v>153</v>
      </c>
      <c r="G56" s="10" t="s">
        <v>201</v>
      </c>
      <c r="H56" s="9" t="s">
        <v>229</v>
      </c>
      <c r="I56" s="10" t="s">
        <v>255</v>
      </c>
      <c r="J56" s="9">
        <v>1</v>
      </c>
      <c r="K56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2024-08-02T13:54:00Z</dcterms:modified>
</cp:coreProperties>
</file>