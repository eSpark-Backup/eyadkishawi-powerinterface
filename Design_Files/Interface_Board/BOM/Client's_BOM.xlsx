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sVirgo\Documents\GitHub\eyadkishawi-powerinterface\Design_Files\Interface_Board\BOM\"/>
    </mc:Choice>
  </mc:AlternateContent>
  <bookViews>
    <workbookView xWindow="0" yWindow="0" windowWidth="19635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<sst xmlns="http://schemas.openxmlformats.org/spreadsheetml/2006/main" count="392" uniqueCount="268">
  <si>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</si>
  <si>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</si>
  <si>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</si>
  <si>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</si>
  <si>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</si>
  <si>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</si>
  <si>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</si>
  <si>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Quantity</t>
  </si>
  <si>
    <t>Remarks</t>
  </si>
  <si>
    <t>Capacitor</t>
  </si>
  <si>
    <t>C1, C2, C8, C10, C21, C23, C30, C31, C32, C33</t>
  </si>
  <si>
    <t>CAP CER 1UF 10V X5R 0402</t>
  </si>
  <si>
    <t>Cap-0402</t>
  </si>
  <si>
    <t>CC0402KRX5R6BB105</t>
  </si>
  <si>
    <t>Yageo</t>
  </si>
  <si>
    <t>1uF</t>
  </si>
  <si>
    <t>C3, C9, C11, C12, C13, C14, C15, C17, C18, C19, C20, C22, C24, C27, C29, C35, C37, C39, C41, C43, C45, C47, C49, C51, C54, C56, C58, C60, C62, C64, C66, C68, C69, C72, C74, C76, C78</t>
  </si>
  <si>
    <t>CAP CER 0.1UF 16V X7R 0402</t>
  </si>
  <si>
    <t>GRM155R71C104KA88D</t>
  </si>
  <si>
    <t>Murata</t>
  </si>
  <si>
    <t>0.1uF</t>
  </si>
  <si>
    <t>C4, C5</t>
  </si>
  <si>
    <t>CAP CER 22UF 10V X5R 0402</t>
  </si>
  <si>
    <t>GRM158R61A226ME15D</t>
  </si>
  <si>
    <t>22uF</t>
  </si>
  <si>
    <t>C6, C26, C52, C73, C80</t>
  </si>
  <si>
    <t>CAP CER 4.7UF 10V X5R 0402</t>
  </si>
  <si>
    <t>CC0402KRX5R6BB475</t>
  </si>
  <si>
    <t>4.7uF</t>
  </si>
  <si>
    <t>C7, C71, C75, C77, C79</t>
  </si>
  <si>
    <t>CAP CER 10UF 10V X5R 0402</t>
  </si>
  <si>
    <t>CC0402MRX5R6BB106</t>
  </si>
  <si>
    <t>10uF</t>
  </si>
  <si>
    <t>C16, C25, C28</t>
  </si>
  <si>
    <t>CAP CER 47UF 6.3V X5R 0805</t>
  </si>
  <si>
    <t>Cap-0805</t>
  </si>
  <si>
    <t>CC0805MKX5R5BB476</t>
  </si>
  <si>
    <t>47uF</t>
  </si>
  <si>
    <t>C34</t>
  </si>
  <si>
    <t>CAP CER 10000PF 16V X7R 0603</t>
  </si>
  <si>
    <t>Cap-0603</t>
  </si>
  <si>
    <t>CC0603KRX7R7BB103</t>
  </si>
  <si>
    <t>10nF</t>
  </si>
  <si>
    <t>C36, C38, C40, C42, C44, C46, C48, C50, C53, C55, C57, C59, C61, C63, C65, C67, C70</t>
  </si>
  <si>
    <t>Multilayer Ceramic Capacitor, 1000 pF, 16 V, ± 10%, X5R, 0402 [1005 Metric]</t>
  </si>
  <si>
    <t>GRM155R61C102KA01D</t>
  </si>
  <si>
    <t>1nF</t>
  </si>
  <si>
    <t>Diode</t>
  </si>
  <si>
    <t>D1, D2, D3, D4</t>
  </si>
  <si>
    <t>Ultra-Low Capacitance TVS Diode Array, SOT-23-6L, RoHS</t>
  </si>
  <si>
    <t>SOT-23-6</t>
  </si>
  <si>
    <t>AOZ8904CIL</t>
  </si>
  <si>
    <t>Alpha &amp; Omega Semiconductor</t>
  </si>
  <si>
    <t>-</t>
  </si>
  <si>
    <t>D2,D3,D4 are DNP only</t>
  </si>
  <si>
    <t>D5</t>
  </si>
  <si>
    <t>AUTOMOTIVE DIODE ESD 3.3VWM 5.5V</t>
  </si>
  <si>
    <t>Diode 0402</t>
  </si>
  <si>
    <t>ACPDQC3V3HT-HF</t>
  </si>
  <si>
    <t>Comchip</t>
  </si>
  <si>
    <t>Header</t>
  </si>
  <si>
    <t>J4</t>
  </si>
  <si>
    <t>CONN HEADER R/A 6POS 2.5MM</t>
  </si>
  <si>
    <t>105313-1306</t>
  </si>
  <si>
    <t>Molex</t>
  </si>
  <si>
    <t>J6</t>
  </si>
  <si>
    <t>CONN HEADER R/A 14POS 2.54MM</t>
  </si>
  <si>
    <t>N3314-5302RB</t>
  </si>
  <si>
    <t>3M</t>
  </si>
  <si>
    <t>J10</t>
  </si>
  <si>
    <t>CONN HEADER R/A 10POS 2.5MM</t>
  </si>
  <si>
    <t>105314-1310</t>
  </si>
  <si>
    <t>J11, J19, J22</t>
  </si>
  <si>
    <t>NANO-FIT HDR SMT RA SGL 5CKT 30A</t>
  </si>
  <si>
    <t>105430-1305</t>
  </si>
  <si>
    <t>DNP</t>
  </si>
  <si>
    <t>J16</t>
  </si>
  <si>
    <t>CONN HEADER R/A 3POS 2.5MM</t>
  </si>
  <si>
    <t>105313-1303</t>
  </si>
  <si>
    <t>J21</t>
  </si>
  <si>
    <t>CONN HEADER R/A 4POS 2.5MM</t>
  </si>
  <si>
    <t>105313-1304</t>
  </si>
  <si>
    <t>RF / Coaxial Connectors</t>
  </si>
  <si>
    <t>J31</t>
  </si>
  <si>
    <t>CONN SMA JACK STR 50 OHM PCB</t>
  </si>
  <si>
    <t>SMA-J-P-H-ST-TH1</t>
  </si>
  <si>
    <t>Samtec</t>
  </si>
  <si>
    <t>J45</t>
  </si>
  <si>
    <t>Gold Straight 12P 2.54mm 双排 2x6P Plugin,P=2.54mm Pin Headers ROHS</t>
  </si>
  <si>
    <t>PZ2.54-2*6</t>
  </si>
  <si>
    <t>ZHOURI</t>
  </si>
  <si>
    <t>J56</t>
  </si>
  <si>
    <t>CONN HEADER VERT 3POS 1.27MM</t>
  </si>
  <si>
    <t>GRPB031VWVN-RC</t>
  </si>
  <si>
    <t>Sullins</t>
  </si>
  <si>
    <t>J68, J69</t>
  </si>
  <si>
    <t>CONN HEADER VERT 4POS 2.54MM</t>
  </si>
  <si>
    <t>Inductors</t>
  </si>
  <si>
    <t>L1</t>
  </si>
  <si>
    <t>FIXED IND 2.2UH 1.2A 96 MOHM SMD</t>
  </si>
  <si>
    <t>NR3012T2R2M</t>
  </si>
  <si>
    <t>Taiyo Yuden</t>
  </si>
  <si>
    <t>2.2uH</t>
  </si>
  <si>
    <t>Inductor</t>
  </si>
  <si>
    <t>L2</t>
  </si>
  <si>
    <t>FIXED IND 27NH 360MA 550MOHM SMD</t>
  </si>
  <si>
    <t>IND-0603 (1608 Metric)</t>
  </si>
  <si>
    <t>B82496C3270J000</t>
  </si>
  <si>
    <t>TDK EPCOS</t>
  </si>
  <si>
    <t>27nH</t>
  </si>
  <si>
    <t>LED</t>
  </si>
  <si>
    <t>LED1</t>
  </si>
  <si>
    <t>RED LED 0603 Light Emitting Diodes</t>
  </si>
  <si>
    <t>LED-0603</t>
  </si>
  <si>
    <t>NCD0603R3</t>
  </si>
  <si>
    <t>Foshan NationStar Optoelectronics</t>
  </si>
  <si>
    <t>LED2</t>
  </si>
  <si>
    <t>Emerald 0603 Light Emitting Diodes (LED) ROHS</t>
  </si>
  <si>
    <t>NCD0603G2</t>
  </si>
  <si>
    <t>MOSFETs</t>
  </si>
  <si>
    <t>Q1, Q2</t>
  </si>
  <si>
    <t>20V 11.5A 12mΩ@11.5A,4.5V 1W 1.5V@250uA 1PCSPChannel SOIC-8 MOSFETs ROHS</t>
  </si>
  <si>
    <t>SOIC-8</t>
  </si>
  <si>
    <t>SI4463DY</t>
  </si>
  <si>
    <t>ON Semiconductor / Fairchild</t>
  </si>
  <si>
    <t>Transistor</t>
  </si>
  <si>
    <t>Q3, Q8, Q10, Q11, Q12</t>
  </si>
  <si>
    <t>Small Signal Bipolar Transistor, 0.6A I(C), 40V V(BR)CEO, 1-Element, NPN, Silicon</t>
  </si>
  <si>
    <t>MMBT2222ATT3G</t>
  </si>
  <si>
    <t>ON Semiconductor</t>
  </si>
  <si>
    <t>Q4, Q5, Q6, Q7</t>
  </si>
  <si>
    <t>USBPOWERSWITCHTSOT25T&amp;R3K</t>
  </si>
  <si>
    <t>TSOT-25</t>
  </si>
  <si>
    <t>AP22816BKAWT-7</t>
  </si>
  <si>
    <t>Diodes</t>
  </si>
  <si>
    <t>Q9</t>
  </si>
  <si>
    <t>Transistor MOSFET P-CH 20V 3.1A 3-Pin SOT-23</t>
  </si>
  <si>
    <t>SOT-23</t>
  </si>
  <si>
    <t>SI2301CDS-T1-BE3</t>
  </si>
  <si>
    <t>Vishay</t>
  </si>
  <si>
    <t>Resistor</t>
  </si>
  <si>
    <t>R1, R2, R4, R10, R15, R16, R20, R21, R22, R23, R26, R29, R30, R31, R35, R36, R46, R47, R48, R49, R52, R53, R55, R56, R57</t>
  </si>
  <si>
    <t>RES SMD 10K OHM 0.1% 1/16W 0402</t>
  </si>
  <si>
    <t>Res-0402</t>
  </si>
  <si>
    <t>RT0402BRD0710KL</t>
  </si>
  <si>
    <t>10K</t>
  </si>
  <si>
    <t>R55 is DNP only</t>
  </si>
  <si>
    <t>R3</t>
  </si>
  <si>
    <t>RES SMD 1.3K OHM 5% 1/10W 0402</t>
  </si>
  <si>
    <t>1.3K</t>
  </si>
  <si>
    <t>R5, R6, R13, R14, R18, R19, R50, R51</t>
  </si>
  <si>
    <t>RES SMD 0 OHM JUMPER 1/5W 0402</t>
  </si>
  <si>
    <t>RCS04020000Z0ED</t>
  </si>
  <si>
    <t>Vishay Dale</t>
  </si>
  <si>
    <t>0R</t>
  </si>
  <si>
    <t>R7, R9, R43</t>
  </si>
  <si>
    <t>RES SMD 100K OHM 0.1% 1/16W 0402</t>
  </si>
  <si>
    <t>RT0402BRD07100KL</t>
  </si>
  <si>
    <t>100K</t>
  </si>
  <si>
    <t>R8, R25, R33, R34, R45</t>
  </si>
  <si>
    <t>RES 1K OHM 1% 1/16W 0402</t>
  </si>
  <si>
    <t>RC0402FR-071KL</t>
  </si>
  <si>
    <t>1K</t>
  </si>
  <si>
    <t>R11</t>
  </si>
  <si>
    <t>RES 43K OHM 1% 1/16W 0402</t>
  </si>
  <si>
    <t>RC0402FR-0743KL</t>
  </si>
  <si>
    <t>43K</t>
  </si>
  <si>
    <t>R12</t>
  </si>
  <si>
    <t>RES 49.9K OHM 1% 1/16W 0402</t>
  </si>
  <si>
    <t>RC0402FR-0749K9L</t>
  </si>
  <si>
    <t>49.9K</t>
  </si>
  <si>
    <t>R17, R24, R28</t>
  </si>
  <si>
    <t>SMD Chip Resistor, 330 Ohm, ± 1%, 63 mW, 0402 [1005 Metric], Thick Film, General Purpose</t>
  </si>
  <si>
    <t>CRCW0402330RFKEDC</t>
  </si>
  <si>
    <t>Vishay Semiconductors</t>
  </si>
  <si>
    <t>330R</t>
  </si>
  <si>
    <t>R27</t>
  </si>
  <si>
    <t>62.5mW Thick Film Resistors ±100ppm/℃ ±0.1% 1MΩ 0402 Chip Resistor - Surface Mount ROHS</t>
  </si>
  <si>
    <t>RTT021004BTH</t>
  </si>
  <si>
    <t>RALEC</t>
  </si>
  <si>
    <t>1M</t>
  </si>
  <si>
    <t>R32</t>
  </si>
  <si>
    <t>Res Thick Film 0402 11K Ohm 1% 0.063W(1/16W) ±100ppm/C Pad SMD Automotive T/R</t>
  </si>
  <si>
    <t>RMCF0402FT11K0</t>
  </si>
  <si>
    <t>Stackpole Electronics</t>
  </si>
  <si>
    <t>11K</t>
  </si>
  <si>
    <t>R37, R38, R40, R41</t>
  </si>
  <si>
    <t>SMD Chip Resistor, 27 Ohm, ± 1%, 63 mW, 0402 [1005 Metric], Thick Film, General Purpose</t>
  </si>
  <si>
    <t>CRGCQ0402F27R</t>
  </si>
  <si>
    <t>TE Connectivity</t>
  </si>
  <si>
    <t>27R</t>
  </si>
  <si>
    <t>R37,R38 are DNP only</t>
  </si>
  <si>
    <t>R39</t>
  </si>
  <si>
    <t>RES 100 OHM 1% 1/16W 0402</t>
  </si>
  <si>
    <t>RC0402FR-07100RL</t>
  </si>
  <si>
    <t>100R</t>
  </si>
  <si>
    <t>R42</t>
  </si>
  <si>
    <t>RES SMD 10 OHM 1% 1/5W 0402</t>
  </si>
  <si>
    <t>CRCW040210R0FKEDHP</t>
  </si>
  <si>
    <t>10R</t>
  </si>
  <si>
    <t>R44</t>
  </si>
  <si>
    <t>RES 12K OHM 1% 1/16W 0402</t>
  </si>
  <si>
    <t>RC0402FR-0712KL</t>
  </si>
  <si>
    <t>12K</t>
  </si>
  <si>
    <t>R54</t>
  </si>
  <si>
    <t>Res Thick Film 0402 200K Ohm 5% 1/16W</t>
  </si>
  <si>
    <t>RC0402JR-07200KL</t>
  </si>
  <si>
    <t>200K</t>
  </si>
  <si>
    <t>R58, R59, R60, R61</t>
  </si>
  <si>
    <t>RES 0 OHM JUMPER 1/8W 0805</t>
  </si>
  <si>
    <t>Res-0805</t>
  </si>
  <si>
    <t>RC0805FR-070RL</t>
  </si>
  <si>
    <t>IC</t>
  </si>
  <si>
    <t>U1, U7, U8</t>
  </si>
  <si>
    <t>LDO Regulator Pos 3.3V 0.25A 5-Pin SOT-23 T/R</t>
  </si>
  <si>
    <t>SOT-23-5</t>
  </si>
  <si>
    <t>LP5907MFX-3.3/NOPB</t>
  </si>
  <si>
    <t>Texas Instruments</t>
  </si>
  <si>
    <t>U2</t>
  </si>
  <si>
    <t>IC REG CHRG PUMP ADJ 200MA 8SOIC</t>
  </si>
  <si>
    <t>SOIC-8(0.154", 3.90mm Width)</t>
  </si>
  <si>
    <t>MAX889RESA+</t>
  </si>
  <si>
    <t>Maxim</t>
  </si>
  <si>
    <t>U3</t>
  </si>
  <si>
    <t>MAX3080 Series 115 kbps 5.25 V Full Duplex RS-485/RS-422 Transceiver - SOIC-14</t>
  </si>
  <si>
    <t>SOIC-14</t>
  </si>
  <si>
    <t>MAX3080EESD+T</t>
  </si>
  <si>
    <t>U4</t>
  </si>
  <si>
    <t>IC REG BUCK 1.2V 600MA SOT23-5</t>
  </si>
  <si>
    <t>LM3674MFX-1.2/NOPB</t>
  </si>
  <si>
    <t>TI National Semiconductor</t>
  </si>
  <si>
    <t>U5</t>
  </si>
  <si>
    <t>IC TXRX RS232 460KBPS 10-UMAX</t>
  </si>
  <si>
    <t>10-MSOP</t>
  </si>
  <si>
    <t>MAX3311EEUB+T</t>
  </si>
  <si>
    <t>Module</t>
  </si>
  <si>
    <t>U6</t>
  </si>
  <si>
    <t>Rf Receiver Gnss/gps 1.575GHZ</t>
  </si>
  <si>
    <t>NEO-M8Q-01A</t>
  </si>
  <si>
    <t>u-blox</t>
  </si>
  <si>
    <t>U9</t>
  </si>
  <si>
    <t>IC SUPERVISOR 1 CHANNEL SOT23-3</t>
  </si>
  <si>
    <t>MIC803-29D4VM3-TR</t>
  </si>
  <si>
    <t>Microchip</t>
  </si>
  <si>
    <t>U10</t>
  </si>
  <si>
    <t>IC USB HUB CNTRLR 100VQFN</t>
  </si>
  <si>
    <t>100-VQFN (12x12)</t>
  </si>
  <si>
    <t>USB7002-I/KDX</t>
  </si>
  <si>
    <t>Microcontrollers</t>
  </si>
  <si>
    <t>U11</t>
  </si>
  <si>
    <t>IC MCU 8BIT 96KB FLASH 64TQFP</t>
  </si>
  <si>
    <t>64-TQFP (10x10)</t>
  </si>
  <si>
    <t>PIC18F6627T-E/PT</t>
  </si>
  <si>
    <t>Oscillators</t>
  </si>
  <si>
    <t>X1</t>
  </si>
  <si>
    <t>XTAL OSC XO 25.0000MHZ CMOS SMD</t>
  </si>
  <si>
    <t>SMD2520-4P</t>
  </si>
  <si>
    <t>ECS-2033-250-BN</t>
  </si>
  <si>
    <t>ECS International</t>
  </si>
  <si>
    <t>Value</t>
  </si>
  <si>
    <t>Custom-SMD</t>
  </si>
  <si>
    <t>ERJ2GEJ132X</t>
  </si>
  <si>
    <t>Panasonic</t>
  </si>
  <si>
    <t>Through Hole (2.54mm)</t>
  </si>
  <si>
    <t>Through Hole (1.27mm)</t>
  </si>
  <si>
    <t>Through Hole (2.5mm)</t>
  </si>
  <si>
    <t>SOT-416</t>
  </si>
  <si>
    <t>Custom-Through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</si>
</sst>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6"/>
  <sheetViews>
    <sheetView tabSelected="1" topLeftCell="B1" zoomScaleNormal="100" workbookViewId="0">
      <selection activeCell="D12" sqref="D12"/>
    </sheetView>
  </sheetViews>
  <sheetFormatPr defaultColWidth="9" defaultRowHeight="15"/>
  <cols>
    <col min="2" max="2" width="3.140625" style="1" customWidth="1"/>
    <col min="3" max="3" width="14" style="1" bestFit="1" customWidth="1"/>
    <col min="4" max="4" width="35.7109375" bestFit="1" customWidth="1"/>
    <col min="5" max="5" width="29.85546875" bestFit="1" customWidth="1"/>
    <col min="6" max="6" width="23.85546875" bestFit="1" customWidth="1"/>
    <col min="7" max="7" width="25.28515625" bestFit="1" customWidth="1"/>
    <col min="8" max="8" width="19.140625" bestFit="1" customWidth="1"/>
    <col min="9" max="9" width="6.140625" bestFit="1" customWidth="1"/>
    <col min="10" max="10" width="8.7109375" bestFit="1" customWidth="1"/>
    <col min="11" max="11" width="29.42578125" customWidth="1"/>
  </cols>
  <sheetData>
    <row r="1" spans="1:11">
      <c r="A1" s="2"/>
      <c r="B1" s="3"/>
      <c r="C1" s="3"/>
      <c r="D1" s="4"/>
      <c r="E1" s="4"/>
      <c r="F1" s="4"/>
      <c r="G1" s="4"/>
      <c r="H1" s="4"/>
      <c r="I1" s="19"/>
      <c r="J1" s="19"/>
      <c r="K1" s="19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259</v>
      </c>
      <c r="J2" s="5" t="s">
        <v>7</v>
      </c>
      <c r="K2" s="5" t="s">
        <v>8</v>
      </c>
    </row>
    <row r="3" spans="1:11">
      <c r="A3" s="2"/>
      <c r="B3" s="7">
        <f t="shared" ref="B3:B34" si="0">ROW(B3)-ROW($B$2)</f>
        <v>1</v>
      </c>
      <c r="C3" s="8" t="s">
        <v>9</v>
      </c>
      <c r="D3" s="9" t="s">
        <v>10</v>
      </c>
      <c r="E3" s="10" t="s">
        <v>11</v>
      </c>
      <c r="F3" s="9" t="s">
        <v>12</v>
      </c>
      <c r="G3" s="10" t="s">
        <v>13</v>
      </c>
      <c r="H3" s="9" t="s">
        <v>14</v>
      </c>
      <c r="I3" s="10" t="s">
        <v>15</v>
      </c>
      <c r="J3" s="9">
        <v>10</v>
      </c>
      <c r="K3" s="9"/>
    </row>
    <row r="4" spans="1:11" ht="48">
      <c r="A4" s="2"/>
      <c r="B4" s="7">
        <f t="shared" si="0"/>
        <v>2</v>
      </c>
      <c r="C4" s="11" t="s">
        <v>9</v>
      </c>
      <c r="D4" s="12" t="s">
        <v>16</v>
      </c>
      <c r="E4" s="13" t="s">
        <v>17</v>
      </c>
      <c r="F4" s="12" t="s">
        <v>12</v>
      </c>
      <c r="G4" s="13" t="s">
        <v>18</v>
      </c>
      <c r="H4" s="12" t="s">
        <v>19</v>
      </c>
      <c r="I4" s="13" t="s">
        <v>20</v>
      </c>
      <c r="J4" s="12">
        <v>37</v>
      </c>
      <c r="K4" s="12"/>
    </row>
    <row r="5" spans="1:11">
      <c r="A5" s="2"/>
      <c r="B5" s="7">
        <f t="shared" si="0"/>
        <v>3</v>
      </c>
      <c r="C5" s="8" t="s">
        <v>9</v>
      </c>
      <c r="D5" s="9" t="s">
        <v>21</v>
      </c>
      <c r="E5" s="10" t="s">
        <v>22</v>
      </c>
      <c r="F5" s="9" t="s">
        <v>12</v>
      </c>
      <c r="G5" s="10" t="s">
        <v>23</v>
      </c>
      <c r="H5" s="9" t="s">
        <v>19</v>
      </c>
      <c r="I5" s="10" t="s">
        <v>24</v>
      </c>
      <c r="J5" s="9">
        <v>2</v>
      </c>
      <c r="K5" s="9"/>
    </row>
    <row r="6" spans="1:11">
      <c r="A6" s="2"/>
      <c r="B6" s="7">
        <f t="shared" si="0"/>
        <v>4</v>
      </c>
      <c r="C6" s="8" t="s">
        <v>9</v>
      </c>
      <c r="D6" s="12" t="s">
        <v>25</v>
      </c>
      <c r="E6" s="13" t="s">
        <v>26</v>
      </c>
      <c r="F6" s="12" t="s">
        <v>12</v>
      </c>
      <c r="G6" s="13" t="s">
        <v>27</v>
      </c>
      <c r="H6" s="12" t="s">
        <v>14</v>
      </c>
      <c r="I6" s="13" t="s">
        <v>28</v>
      </c>
      <c r="J6" s="12">
        <v>5</v>
      </c>
      <c r="K6" s="12"/>
    </row>
    <row r="7" spans="1:11">
      <c r="A7" s="2"/>
      <c r="B7" s="7">
        <f t="shared" si="0"/>
        <v>5</v>
      </c>
      <c r="C7" s="8" t="s">
        <v>9</v>
      </c>
      <c r="D7" s="9" t="s">
        <v>29</v>
      </c>
      <c r="E7" s="10" t="s">
        <v>30</v>
      </c>
      <c r="F7" s="9" t="s">
        <v>12</v>
      </c>
      <c r="G7" s="10" t="s">
        <v>31</v>
      </c>
      <c r="H7" s="9" t="s">
        <v>14</v>
      </c>
      <c r="I7" s="10" t="s">
        <v>32</v>
      </c>
      <c r="J7" s="9">
        <v>5</v>
      </c>
      <c r="K7" s="9"/>
    </row>
    <row r="8" spans="1:11">
      <c r="A8" s="2"/>
      <c r="B8" s="7">
        <f t="shared" si="0"/>
        <v>6</v>
      </c>
      <c r="C8" s="11" t="s">
        <v>9</v>
      </c>
      <c r="D8" s="12" t="s">
        <v>33</v>
      </c>
      <c r="E8" s="13" t="s">
        <v>34</v>
      </c>
      <c r="F8" s="12" t="s">
        <v>35</v>
      </c>
      <c r="G8" s="13" t="s">
        <v>36</v>
      </c>
      <c r="H8" s="12" t="s">
        <v>14</v>
      </c>
      <c r="I8" s="13" t="s">
        <v>37</v>
      </c>
      <c r="J8" s="12">
        <v>3</v>
      </c>
      <c r="K8" s="12"/>
    </row>
    <row r="9" spans="1:11">
      <c r="A9" s="2"/>
      <c r="B9" s="7">
        <f t="shared" si="0"/>
        <v>7</v>
      </c>
      <c r="C9" s="8" t="s">
        <v>9</v>
      </c>
      <c r="D9" s="9" t="s">
        <v>38</v>
      </c>
      <c r="E9" s="10" t="s">
        <v>39</v>
      </c>
      <c r="F9" s="9" t="s">
        <v>40</v>
      </c>
      <c r="G9" s="10" t="s">
        <v>41</v>
      </c>
      <c r="H9" s="9" t="s">
        <v>14</v>
      </c>
      <c r="I9" s="10" t="s">
        <v>42</v>
      </c>
      <c r="J9" s="9">
        <v>1</v>
      </c>
      <c r="K9" s="9"/>
    </row>
    <row r="10" spans="1:11" ht="36">
      <c r="A10" s="2"/>
      <c r="B10" s="7">
        <f t="shared" si="0"/>
        <v>8</v>
      </c>
      <c r="C10" s="11" t="s">
        <v>9</v>
      </c>
      <c r="D10" s="12" t="s">
        <v>43</v>
      </c>
      <c r="E10" s="13" t="s">
        <v>44</v>
      </c>
      <c r="F10" s="12" t="s">
        <v>12</v>
      </c>
      <c r="G10" s="13" t="s">
        <v>45</v>
      </c>
      <c r="H10" s="12" t="s">
        <v>19</v>
      </c>
      <c r="I10" s="13" t="s">
        <v>46</v>
      </c>
      <c r="J10" s="12">
        <v>17</v>
      </c>
      <c r="K10" s="12"/>
    </row>
    <row r="11" spans="1:11" ht="24.75" thickBot="1">
      <c r="A11" s="2"/>
      <c r="B11" s="7">
        <f t="shared" si="0"/>
        <v>9</v>
      </c>
      <c r="C11" s="8" t="s">
        <v>47</v>
      </c>
      <c r="D11" s="9" t="s">
        <v>48</v>
      </c>
      <c r="E11" s="10" t="s">
        <v>49</v>
      </c>
      <c r="F11" s="9" t="s">
        <v>50</v>
      </c>
      <c r="G11" s="10" t="s">
        <v>51</v>
      </c>
      <c r="H11" s="9" t="s">
        <v>52</v>
      </c>
      <c r="I11" s="10" t="s">
        <v>53</v>
      </c>
      <c r="J11" s="9">
        <v>4</v>
      </c>
      <c r="K11" s="14" t="s">
        <v>54</v>
      </c>
    </row>
    <row r="12" spans="1:11" ht="24.75" thickBot="1">
      <c r="A12" s="2"/>
      <c r="B12" s="7">
        <f t="shared" si="0"/>
        <v>10</v>
      </c>
      <c r="C12" s="11" t="s">
        <v>47</v>
      </c>
      <c r="D12" s="12" t="s">
        <v>55</v>
      </c>
      <c r="E12" s="13" t="s">
        <v>56</v>
      </c>
      <c r="F12" s="12" t="s">
        <v>57</v>
      </c>
      <c r="G12" s="13" t="s">
        <v>58</v>
      </c>
      <c r="H12" s="12" t="s">
        <v>59</v>
      </c>
      <c r="I12" s="10" t="s">
        <v>53</v>
      </c>
      <c r="J12" s="12">
        <v>1</v>
      </c>
      <c r="K12" s="15"/>
    </row>
    <row r="13" spans="1:11" ht="15.75" thickBot="1">
      <c r="A13" s="2"/>
      <c r="B13" s="7">
        <f t="shared" si="0"/>
        <v>11</v>
      </c>
      <c r="C13" s="8" t="s">
        <v>60</v>
      </c>
      <c r="D13" s="9" t="s">
        <v>61</v>
      </c>
      <c r="E13" s="10" t="s">
        <v>62</v>
      </c>
      <c r="F13" s="16" t="s">
        <v>265</v>
      </c>
      <c r="G13" s="10" t="s">
        <v>63</v>
      </c>
      <c r="H13" s="9" t="s">
        <v>64</v>
      </c>
      <c r="I13" s="10" t="s">
        <v>53</v>
      </c>
      <c r="J13" s="9">
        <v>1</v>
      </c>
      <c r="K13" s="14"/>
    </row>
    <row r="14" spans="1:11">
      <c r="A14" s="2"/>
      <c r="B14" s="7">
        <f t="shared" si="0"/>
        <v>12</v>
      </c>
      <c r="C14" s="8" t="s">
        <v>60</v>
      </c>
      <c r="D14" s="12" t="s">
        <v>65</v>
      </c>
      <c r="E14" s="13" t="s">
        <v>66</v>
      </c>
      <c r="F14" s="16" t="s">
        <v>263</v>
      </c>
      <c r="G14" s="13" t="s">
        <v>67</v>
      </c>
      <c r="H14" s="12" t="s">
        <v>68</v>
      </c>
      <c r="I14" s="10" t="s">
        <v>53</v>
      </c>
      <c r="J14" s="12">
        <v>1</v>
      </c>
      <c r="K14" s="15"/>
    </row>
    <row r="15" spans="1:11">
      <c r="A15" s="2"/>
      <c r="B15" s="7">
        <f t="shared" si="0"/>
        <v>13</v>
      </c>
      <c r="C15" s="8" t="s">
        <v>60</v>
      </c>
      <c r="D15" s="9" t="s">
        <v>69</v>
      </c>
      <c r="E15" s="10" t="s">
        <v>70</v>
      </c>
      <c r="F15" s="16" t="s">
        <v>265</v>
      </c>
      <c r="G15" s="10" t="s">
        <v>71</v>
      </c>
      <c r="H15" s="9" t="s">
        <v>64</v>
      </c>
      <c r="I15" s="10" t="s">
        <v>53</v>
      </c>
      <c r="J15" s="9">
        <v>1</v>
      </c>
      <c r="K15" s="14"/>
    </row>
    <row r="16" spans="1:11">
      <c r="A16" s="2"/>
      <c r="B16" s="7">
        <f t="shared" si="0"/>
        <v>14</v>
      </c>
      <c r="C16" s="11" t="s">
        <v>60</v>
      </c>
      <c r="D16" s="12" t="s">
        <v>72</v>
      </c>
      <c r="E16" s="13" t="s">
        <v>73</v>
      </c>
      <c r="F16" s="18" t="s">
        <v>260</v>
      </c>
      <c r="G16" s="13" t="s">
        <v>74</v>
      </c>
      <c r="H16" s="12" t="s">
        <v>64</v>
      </c>
      <c r="I16" s="10" t="s">
        <v>53</v>
      </c>
      <c r="J16" s="12">
        <v>3</v>
      </c>
      <c r="K16" s="15" t="s">
        <v>75</v>
      </c>
    </row>
    <row r="17" spans="1:11">
      <c r="A17" s="2"/>
      <c r="B17" s="7">
        <f t="shared" si="0"/>
        <v>15</v>
      </c>
      <c r="C17" s="8" t="s">
        <v>60</v>
      </c>
      <c r="D17" s="9" t="s">
        <v>76</v>
      </c>
      <c r="E17" s="10" t="s">
        <v>77</v>
      </c>
      <c r="F17" s="16" t="s">
        <v>265</v>
      </c>
      <c r="G17" s="10" t="s">
        <v>78</v>
      </c>
      <c r="H17" s="9" t="s">
        <v>64</v>
      </c>
      <c r="I17" s="10" t="s">
        <v>53</v>
      </c>
      <c r="J17" s="9">
        <v>1</v>
      </c>
      <c r="K17" s="14"/>
    </row>
    <row r="18" spans="1:11">
      <c r="A18" s="2"/>
      <c r="B18" s="7">
        <f t="shared" si="0"/>
        <v>16</v>
      </c>
      <c r="C18" s="11" t="s">
        <v>60</v>
      </c>
      <c r="D18" s="12" t="s">
        <v>79</v>
      </c>
      <c r="E18" s="13" t="s">
        <v>80</v>
      </c>
      <c r="F18" s="16" t="s">
        <v>265</v>
      </c>
      <c r="G18" s="13" t="s">
        <v>81</v>
      </c>
      <c r="H18" s="12" t="s">
        <v>64</v>
      </c>
      <c r="I18" s="10" t="s">
        <v>53</v>
      </c>
      <c r="J18" s="12">
        <v>1</v>
      </c>
      <c r="K18" s="15"/>
    </row>
    <row r="19" spans="1:11" ht="25.5">
      <c r="A19" s="2"/>
      <c r="B19" s="7">
        <f t="shared" si="0"/>
        <v>17</v>
      </c>
      <c r="C19" s="8" t="s">
        <v>82</v>
      </c>
      <c r="D19" s="9" t="s">
        <v>83</v>
      </c>
      <c r="E19" s="10" t="s">
        <v>84</v>
      </c>
      <c r="F19" s="18" t="s">
        <v>267</v>
      </c>
      <c r="G19" s="10" t="s">
        <v>85</v>
      </c>
      <c r="H19" s="9" t="s">
        <v>86</v>
      </c>
      <c r="I19" s="10" t="s">
        <v>53</v>
      </c>
      <c r="J19" s="9">
        <v>1</v>
      </c>
      <c r="K19" s="14"/>
    </row>
    <row r="20" spans="1:11" ht="24">
      <c r="A20" s="2"/>
      <c r="B20" s="7">
        <f t="shared" si="0"/>
        <v>18</v>
      </c>
      <c r="C20" s="11" t="s">
        <v>60</v>
      </c>
      <c r="D20" s="12" t="s">
        <v>87</v>
      </c>
      <c r="E20" s="13" t="s">
        <v>88</v>
      </c>
      <c r="F20" s="16" t="s">
        <v>263</v>
      </c>
      <c r="G20" s="13" t="s">
        <v>89</v>
      </c>
      <c r="H20" s="12" t="s">
        <v>90</v>
      </c>
      <c r="I20" s="10" t="s">
        <v>53</v>
      </c>
      <c r="J20" s="12">
        <v>1</v>
      </c>
      <c r="K20" s="15"/>
    </row>
    <row r="21" spans="1:11">
      <c r="A21" s="2"/>
      <c r="B21" s="7">
        <f t="shared" si="0"/>
        <v>19</v>
      </c>
      <c r="C21" s="11" t="s">
        <v>60</v>
      </c>
      <c r="D21" s="9" t="s">
        <v>91</v>
      </c>
      <c r="E21" s="10" t="s">
        <v>92</v>
      </c>
      <c r="F21" s="18" t="s">
        <v>264</v>
      </c>
      <c r="G21" s="10" t="s">
        <v>93</v>
      </c>
      <c r="H21" s="9" t="s">
        <v>94</v>
      </c>
      <c r="I21" s="10" t="s">
        <v>53</v>
      </c>
      <c r="J21" s="9">
        <v>1</v>
      </c>
      <c r="K21" s="14"/>
    </row>
    <row r="22" spans="1:11">
      <c r="A22" s="2"/>
      <c r="B22" s="7">
        <f t="shared" si="0"/>
        <v>20</v>
      </c>
      <c r="C22" s="11" t="s">
        <v>60</v>
      </c>
      <c r="D22" s="12" t="s">
        <v>95</v>
      </c>
      <c r="E22" s="13" t="s">
        <v>96</v>
      </c>
      <c r="F22" s="16" t="s">
        <v>263</v>
      </c>
      <c r="G22" s="13">
        <v>1718561004</v>
      </c>
      <c r="H22" s="12" t="s">
        <v>64</v>
      </c>
      <c r="I22" s="10" t="s">
        <v>53</v>
      </c>
      <c r="J22" s="12">
        <v>2</v>
      </c>
      <c r="K22" s="15"/>
    </row>
    <row r="23" spans="1:11">
      <c r="A23" s="2"/>
      <c r="B23" s="7">
        <f t="shared" si="0"/>
        <v>21</v>
      </c>
      <c r="C23" s="8" t="s">
        <v>97</v>
      </c>
      <c r="D23" s="9" t="s">
        <v>98</v>
      </c>
      <c r="E23" s="10" t="s">
        <v>99</v>
      </c>
      <c r="F23" s="18" t="s">
        <v>260</v>
      </c>
      <c r="G23" s="10" t="s">
        <v>100</v>
      </c>
      <c r="H23" s="9" t="s">
        <v>101</v>
      </c>
      <c r="I23" s="10" t="s">
        <v>102</v>
      </c>
      <c r="J23" s="9">
        <v>1</v>
      </c>
      <c r="K23" s="14"/>
    </row>
    <row r="24" spans="1:11" ht="24">
      <c r="A24" s="2"/>
      <c r="B24" s="7">
        <f t="shared" si="0"/>
        <v>22</v>
      </c>
      <c r="C24" s="11" t="s">
        <v>103</v>
      </c>
      <c r="D24" s="12" t="s">
        <v>104</v>
      </c>
      <c r="E24" s="13" t="s">
        <v>105</v>
      </c>
      <c r="F24" s="12" t="s">
        <v>106</v>
      </c>
      <c r="G24" s="13" t="s">
        <v>107</v>
      </c>
      <c r="H24" s="12" t="s">
        <v>108</v>
      </c>
      <c r="I24" s="13" t="s">
        <v>109</v>
      </c>
      <c r="J24" s="12">
        <v>1</v>
      </c>
      <c r="K24" s="15"/>
    </row>
    <row r="25" spans="1:11" ht="24">
      <c r="A25" s="2"/>
      <c r="B25" s="7">
        <f t="shared" si="0"/>
        <v>23</v>
      </c>
      <c r="C25" s="8" t="s">
        <v>110</v>
      </c>
      <c r="D25" s="9" t="s">
        <v>111</v>
      </c>
      <c r="E25" s="10" t="s">
        <v>112</v>
      </c>
      <c r="F25" s="9" t="s">
        <v>113</v>
      </c>
      <c r="G25" s="10" t="s">
        <v>114</v>
      </c>
      <c r="H25" s="9" t="s">
        <v>115</v>
      </c>
      <c r="I25" s="10" t="s">
        <v>53</v>
      </c>
      <c r="J25" s="9">
        <v>1</v>
      </c>
      <c r="K25" s="14"/>
    </row>
    <row r="26" spans="1:11" ht="24">
      <c r="A26" s="2"/>
      <c r="B26" s="7">
        <f t="shared" si="0"/>
        <v>24</v>
      </c>
      <c r="C26" s="11" t="s">
        <v>110</v>
      </c>
      <c r="D26" s="12" t="s">
        <v>116</v>
      </c>
      <c r="E26" s="13" t="s">
        <v>117</v>
      </c>
      <c r="F26" s="12" t="s">
        <v>113</v>
      </c>
      <c r="G26" s="13" t="s">
        <v>118</v>
      </c>
      <c r="H26" s="12" t="s">
        <v>115</v>
      </c>
      <c r="I26" s="10" t="s">
        <v>53</v>
      </c>
      <c r="J26" s="12">
        <v>1</v>
      </c>
      <c r="K26" s="15"/>
    </row>
    <row r="27" spans="1:11" ht="36.75" thickBot="1">
      <c r="A27" s="2"/>
      <c r="B27" s="7">
        <f t="shared" si="0"/>
        <v>25</v>
      </c>
      <c r="C27" s="8" t="s">
        <v>119</v>
      </c>
      <c r="D27" s="9" t="s">
        <v>120</v>
      </c>
      <c r="E27" s="10" t="s">
        <v>121</v>
      </c>
      <c r="F27" s="9" t="s">
        <v>122</v>
      </c>
      <c r="G27" s="10" t="s">
        <v>123</v>
      </c>
      <c r="H27" s="9" t="s">
        <v>124</v>
      </c>
      <c r="I27" s="10" t="s">
        <v>53</v>
      </c>
      <c r="J27" s="9">
        <v>2</v>
      </c>
      <c r="K27" s="14"/>
    </row>
    <row r="28" spans="1:11" ht="36.75" thickBot="1">
      <c r="A28" s="2"/>
      <c r="B28" s="7">
        <f t="shared" si="0"/>
        <v>26</v>
      </c>
      <c r="C28" s="11" t="s">
        <v>125</v>
      </c>
      <c r="D28" s="12" t="s">
        <v>126</v>
      </c>
      <c r="E28" s="13" t="s">
        <v>127</v>
      </c>
      <c r="F28" s="9" t="s">
        <v>266</v>
      </c>
      <c r="G28" s="13" t="s">
        <v>128</v>
      </c>
      <c r="H28" s="12" t="s">
        <v>129</v>
      </c>
      <c r="I28" s="10" t="s">
        <v>53</v>
      </c>
      <c r="J28" s="12">
        <v>5</v>
      </c>
      <c r="K28" s="15"/>
    </row>
    <row r="29" spans="1:11" ht="15.75" thickBot="1">
      <c r="A29" s="2"/>
      <c r="B29" s="7">
        <f t="shared" si="0"/>
        <v>27</v>
      </c>
      <c r="C29" s="8" t="s">
        <v>119</v>
      </c>
      <c r="D29" s="9" t="s">
        <v>130</v>
      </c>
      <c r="E29" s="10" t="s">
        <v>131</v>
      </c>
      <c r="F29" s="9" t="s">
        <v>132</v>
      </c>
      <c r="G29" s="10" t="s">
        <v>133</v>
      </c>
      <c r="H29" s="9" t="s">
        <v>134</v>
      </c>
      <c r="I29" s="10" t="s">
        <v>53</v>
      </c>
      <c r="J29" s="9">
        <v>4</v>
      </c>
      <c r="K29" s="14" t="s">
        <v>75</v>
      </c>
    </row>
    <row r="30" spans="1:11" ht="24">
      <c r="A30" s="2"/>
      <c r="B30" s="7">
        <f t="shared" si="0"/>
        <v>28</v>
      </c>
      <c r="C30" s="8" t="s">
        <v>119</v>
      </c>
      <c r="D30" s="12" t="s">
        <v>135</v>
      </c>
      <c r="E30" s="13" t="s">
        <v>136</v>
      </c>
      <c r="F30" s="12" t="s">
        <v>137</v>
      </c>
      <c r="G30" s="13" t="s">
        <v>138</v>
      </c>
      <c r="H30" s="12" t="s">
        <v>139</v>
      </c>
      <c r="I30" s="10" t="s">
        <v>53</v>
      </c>
      <c r="J30" s="12">
        <v>1</v>
      </c>
      <c r="K30" s="15"/>
    </row>
    <row r="31" spans="1:11" ht="36.75" thickBot="1">
      <c r="A31" s="2"/>
      <c r="B31" s="7">
        <f t="shared" si="0"/>
        <v>29</v>
      </c>
      <c r="C31" s="8" t="s">
        <v>140</v>
      </c>
      <c r="D31" s="9" t="s">
        <v>141</v>
      </c>
      <c r="E31" s="10" t="s">
        <v>142</v>
      </c>
      <c r="F31" s="9" t="s">
        <v>143</v>
      </c>
      <c r="G31" s="10" t="s">
        <v>144</v>
      </c>
      <c r="H31" s="9" t="s">
        <v>14</v>
      </c>
      <c r="I31" s="10" t="s">
        <v>145</v>
      </c>
      <c r="J31" s="9">
        <v>25</v>
      </c>
      <c r="K31" s="14" t="s">
        <v>146</v>
      </c>
    </row>
    <row r="32" spans="1:11" ht="15.75" thickBot="1">
      <c r="A32" s="2"/>
      <c r="B32" s="7">
        <f t="shared" si="0"/>
        <v>30</v>
      </c>
      <c r="C32" s="8" t="s">
        <v>140</v>
      </c>
      <c r="D32" s="12" t="s">
        <v>147</v>
      </c>
      <c r="E32" s="13" t="s">
        <v>148</v>
      </c>
      <c r="F32" s="12" t="s">
        <v>143</v>
      </c>
      <c r="G32" s="10" t="s">
        <v>261</v>
      </c>
      <c r="H32" s="16" t="s">
        <v>262</v>
      </c>
      <c r="I32" s="13" t="s">
        <v>149</v>
      </c>
      <c r="J32" s="12">
        <v>1</v>
      </c>
      <c r="K32" s="15"/>
    </row>
    <row r="33" spans="1:11" ht="15.75" thickBot="1">
      <c r="A33" s="2"/>
      <c r="B33" s="7">
        <f t="shared" si="0"/>
        <v>31</v>
      </c>
      <c r="C33" s="8" t="s">
        <v>140</v>
      </c>
      <c r="D33" s="9" t="s">
        <v>150</v>
      </c>
      <c r="E33" s="10" t="s">
        <v>151</v>
      </c>
      <c r="F33" s="9" t="s">
        <v>143</v>
      </c>
      <c r="G33" s="10" t="s">
        <v>152</v>
      </c>
      <c r="H33" s="9" t="s">
        <v>153</v>
      </c>
      <c r="I33" s="10" t="s">
        <v>154</v>
      </c>
      <c r="J33" s="9">
        <v>8</v>
      </c>
      <c r="K33" s="14"/>
    </row>
    <row r="34" spans="1:11">
      <c r="A34" s="2"/>
      <c r="B34" s="7">
        <f t="shared" si="0"/>
        <v>32</v>
      </c>
      <c r="C34" s="11" t="s">
        <v>140</v>
      </c>
      <c r="D34" s="12" t="s">
        <v>155</v>
      </c>
      <c r="E34" s="13" t="s">
        <v>156</v>
      </c>
      <c r="F34" s="12" t="s">
        <v>143</v>
      </c>
      <c r="G34" s="13" t="s">
        <v>157</v>
      </c>
      <c r="H34" s="12" t="s">
        <v>14</v>
      </c>
      <c r="I34" s="13" t="s">
        <v>158</v>
      </c>
      <c r="J34" s="12">
        <v>3</v>
      </c>
      <c r="K34" s="15"/>
    </row>
    <row r="35" spans="1:11">
      <c r="A35" s="2"/>
      <c r="B35" s="7">
        <f t="shared" ref="B35:B56" si="1">ROW(B35)-ROW($B$2)</f>
        <v>33</v>
      </c>
      <c r="C35" s="8" t="s">
        <v>140</v>
      </c>
      <c r="D35" s="9" t="s">
        <v>159</v>
      </c>
      <c r="E35" s="10" t="s">
        <v>160</v>
      </c>
      <c r="F35" s="9" t="s">
        <v>143</v>
      </c>
      <c r="G35" s="10" t="s">
        <v>161</v>
      </c>
      <c r="H35" s="9" t="s">
        <v>14</v>
      </c>
      <c r="I35" s="10" t="s">
        <v>162</v>
      </c>
      <c r="J35" s="9">
        <v>5</v>
      </c>
      <c r="K35" s="14"/>
    </row>
    <row r="36" spans="1:11">
      <c r="A36" s="2"/>
      <c r="B36" s="7">
        <f t="shared" si="1"/>
        <v>34</v>
      </c>
      <c r="C36" s="11" t="s">
        <v>140</v>
      </c>
      <c r="D36" s="12" t="s">
        <v>163</v>
      </c>
      <c r="E36" s="13" t="s">
        <v>164</v>
      </c>
      <c r="F36" s="12" t="s">
        <v>143</v>
      </c>
      <c r="G36" s="13" t="s">
        <v>165</v>
      </c>
      <c r="H36" s="12" t="s">
        <v>14</v>
      </c>
      <c r="I36" s="13" t="s">
        <v>166</v>
      </c>
      <c r="J36" s="12">
        <v>1</v>
      </c>
      <c r="K36" s="15"/>
    </row>
    <row r="37" spans="1:11">
      <c r="A37" s="2"/>
      <c r="B37" s="7">
        <f t="shared" si="1"/>
        <v>35</v>
      </c>
      <c r="C37" s="8" t="s">
        <v>140</v>
      </c>
      <c r="D37" s="9" t="s">
        <v>167</v>
      </c>
      <c r="E37" s="10" t="s">
        <v>168</v>
      </c>
      <c r="F37" s="9" t="s">
        <v>143</v>
      </c>
      <c r="G37" s="10" t="s">
        <v>169</v>
      </c>
      <c r="H37" s="9" t="s">
        <v>14</v>
      </c>
      <c r="I37" s="10" t="s">
        <v>170</v>
      </c>
      <c r="J37" s="9">
        <v>1</v>
      </c>
      <c r="K37" s="14"/>
    </row>
    <row r="38" spans="1:11" ht="36">
      <c r="A38" s="2"/>
      <c r="B38" s="7">
        <f t="shared" si="1"/>
        <v>36</v>
      </c>
      <c r="C38" s="8" t="s">
        <v>140</v>
      </c>
      <c r="D38" s="12" t="s">
        <v>171</v>
      </c>
      <c r="E38" s="13" t="s">
        <v>172</v>
      </c>
      <c r="F38" s="12" t="s">
        <v>143</v>
      </c>
      <c r="G38" s="13" t="s">
        <v>173</v>
      </c>
      <c r="H38" s="12" t="s">
        <v>174</v>
      </c>
      <c r="I38" s="13" t="s">
        <v>175</v>
      </c>
      <c r="J38" s="12">
        <v>3</v>
      </c>
      <c r="K38" s="15"/>
    </row>
    <row r="39" spans="1:11" ht="36">
      <c r="A39" s="2"/>
      <c r="B39" s="7">
        <f t="shared" si="1"/>
        <v>37</v>
      </c>
      <c r="C39" s="8" t="s">
        <v>140</v>
      </c>
      <c r="D39" s="9" t="s">
        <v>176</v>
      </c>
      <c r="E39" s="10" t="s">
        <v>177</v>
      </c>
      <c r="F39" s="9" t="s">
        <v>143</v>
      </c>
      <c r="G39" s="10" t="s">
        <v>178</v>
      </c>
      <c r="H39" s="9" t="s">
        <v>179</v>
      </c>
      <c r="I39" s="10" t="s">
        <v>180</v>
      </c>
      <c r="J39" s="9">
        <v>1</v>
      </c>
      <c r="K39" s="14"/>
    </row>
    <row r="40" spans="1:11" ht="36">
      <c r="A40" s="2"/>
      <c r="B40" s="7">
        <f t="shared" si="1"/>
        <v>38</v>
      </c>
      <c r="C40" s="8" t="s">
        <v>140</v>
      </c>
      <c r="D40" s="12" t="s">
        <v>181</v>
      </c>
      <c r="E40" s="13" t="s">
        <v>182</v>
      </c>
      <c r="F40" s="12" t="s">
        <v>143</v>
      </c>
      <c r="G40" s="13" t="s">
        <v>183</v>
      </c>
      <c r="H40" s="12" t="s">
        <v>184</v>
      </c>
      <c r="I40" s="13" t="s">
        <v>185</v>
      </c>
      <c r="J40" s="12">
        <v>1</v>
      </c>
      <c r="K40" s="15"/>
    </row>
    <row r="41" spans="1:11" ht="36">
      <c r="A41" s="2"/>
      <c r="B41" s="7">
        <f t="shared" si="1"/>
        <v>39</v>
      </c>
      <c r="C41" s="8" t="s">
        <v>140</v>
      </c>
      <c r="D41" s="9" t="s">
        <v>186</v>
      </c>
      <c r="E41" s="10" t="s">
        <v>187</v>
      </c>
      <c r="F41" s="9" t="s">
        <v>143</v>
      </c>
      <c r="G41" s="10" t="s">
        <v>188</v>
      </c>
      <c r="H41" s="9" t="s">
        <v>189</v>
      </c>
      <c r="I41" s="10" t="s">
        <v>190</v>
      </c>
      <c r="J41" s="9">
        <v>4</v>
      </c>
      <c r="K41" s="14" t="s">
        <v>191</v>
      </c>
    </row>
    <row r="42" spans="1:11">
      <c r="A42" s="2"/>
      <c r="B42" s="7">
        <f t="shared" si="1"/>
        <v>40</v>
      </c>
      <c r="C42" s="11" t="s">
        <v>140</v>
      </c>
      <c r="D42" s="12" t="s">
        <v>192</v>
      </c>
      <c r="E42" s="13" t="s">
        <v>193</v>
      </c>
      <c r="F42" s="12" t="s">
        <v>143</v>
      </c>
      <c r="G42" s="13" t="s">
        <v>194</v>
      </c>
      <c r="H42" s="12" t="s">
        <v>14</v>
      </c>
      <c r="I42" s="13" t="s">
        <v>195</v>
      </c>
      <c r="J42" s="12">
        <v>1</v>
      </c>
      <c r="K42" s="15"/>
    </row>
    <row r="43" spans="1:11">
      <c r="A43" s="2"/>
      <c r="B43" s="7">
        <f t="shared" si="1"/>
        <v>41</v>
      </c>
      <c r="C43" s="8" t="s">
        <v>140</v>
      </c>
      <c r="D43" s="9" t="s">
        <v>196</v>
      </c>
      <c r="E43" s="10" t="s">
        <v>197</v>
      </c>
      <c r="F43" s="9" t="s">
        <v>143</v>
      </c>
      <c r="G43" s="10" t="s">
        <v>198</v>
      </c>
      <c r="H43" s="9" t="s">
        <v>153</v>
      </c>
      <c r="I43" s="10" t="s">
        <v>199</v>
      </c>
      <c r="J43" s="9">
        <v>1</v>
      </c>
      <c r="K43" s="14"/>
    </row>
    <row r="44" spans="1:11">
      <c r="A44" s="2"/>
      <c r="B44" s="7">
        <f t="shared" si="1"/>
        <v>42</v>
      </c>
      <c r="C44" s="8" t="s">
        <v>140</v>
      </c>
      <c r="D44" s="12" t="s">
        <v>200</v>
      </c>
      <c r="E44" s="13" t="s">
        <v>201</v>
      </c>
      <c r="F44" s="12" t="s">
        <v>143</v>
      </c>
      <c r="G44" s="13" t="s">
        <v>202</v>
      </c>
      <c r="H44" s="12" t="s">
        <v>14</v>
      </c>
      <c r="I44" s="13" t="s">
        <v>203</v>
      </c>
      <c r="J44" s="12">
        <v>1</v>
      </c>
      <c r="K44" s="15"/>
    </row>
    <row r="45" spans="1:11" ht="24">
      <c r="A45" s="2"/>
      <c r="B45" s="7">
        <f t="shared" si="1"/>
        <v>43</v>
      </c>
      <c r="C45" s="8" t="s">
        <v>140</v>
      </c>
      <c r="D45" s="9" t="s">
        <v>204</v>
      </c>
      <c r="E45" s="10" t="s">
        <v>205</v>
      </c>
      <c r="F45" s="9" t="s">
        <v>143</v>
      </c>
      <c r="G45" s="10" t="s">
        <v>206</v>
      </c>
      <c r="H45" s="9" t="s">
        <v>14</v>
      </c>
      <c r="I45" s="10" t="s">
        <v>207</v>
      </c>
      <c r="J45" s="9">
        <v>1</v>
      </c>
      <c r="K45" s="14"/>
    </row>
    <row r="46" spans="1:11">
      <c r="A46" s="2"/>
      <c r="B46" s="7">
        <f t="shared" si="1"/>
        <v>44</v>
      </c>
      <c r="C46" s="11" t="s">
        <v>140</v>
      </c>
      <c r="D46" s="12" t="s">
        <v>208</v>
      </c>
      <c r="E46" s="13" t="s">
        <v>209</v>
      </c>
      <c r="F46" s="12" t="s">
        <v>210</v>
      </c>
      <c r="G46" s="13" t="s">
        <v>211</v>
      </c>
      <c r="H46" s="12" t="s">
        <v>14</v>
      </c>
      <c r="I46" s="13" t="s">
        <v>154</v>
      </c>
      <c r="J46" s="12">
        <v>4</v>
      </c>
      <c r="K46" s="15"/>
    </row>
    <row r="47" spans="1:11" ht="24">
      <c r="A47" s="2"/>
      <c r="B47" s="7">
        <f t="shared" si="1"/>
        <v>45</v>
      </c>
      <c r="C47" s="8" t="s">
        <v>212</v>
      </c>
      <c r="D47" s="9" t="s">
        <v>213</v>
      </c>
      <c r="E47" s="10" t="s">
        <v>214</v>
      </c>
      <c r="F47" s="9" t="s">
        <v>215</v>
      </c>
      <c r="G47" s="10" t="s">
        <v>216</v>
      </c>
      <c r="H47" s="9" t="s">
        <v>217</v>
      </c>
      <c r="I47" s="10" t="s">
        <v>53</v>
      </c>
      <c r="J47" s="9">
        <v>3</v>
      </c>
      <c r="K47" s="14"/>
    </row>
    <row r="48" spans="1:11">
      <c r="A48" s="2"/>
      <c r="B48" s="7">
        <f t="shared" si="1"/>
        <v>46</v>
      </c>
      <c r="C48" s="11" t="s">
        <v>212</v>
      </c>
      <c r="D48" s="12" t="s">
        <v>218</v>
      </c>
      <c r="E48" s="13" t="s">
        <v>219</v>
      </c>
      <c r="F48" s="12" t="s">
        <v>220</v>
      </c>
      <c r="G48" s="13" t="s">
        <v>221</v>
      </c>
      <c r="H48" s="12" t="s">
        <v>222</v>
      </c>
      <c r="I48" s="10" t="s">
        <v>53</v>
      </c>
      <c r="J48" s="12">
        <v>1</v>
      </c>
      <c r="K48" s="15"/>
    </row>
    <row r="49" spans="1:11" ht="36">
      <c r="A49" s="2"/>
      <c r="B49" s="7">
        <f t="shared" si="1"/>
        <v>47</v>
      </c>
      <c r="C49" s="8" t="s">
        <v>212</v>
      </c>
      <c r="D49" s="9" t="s">
        <v>223</v>
      </c>
      <c r="E49" s="10" t="s">
        <v>224</v>
      </c>
      <c r="F49" s="9" t="s">
        <v>225</v>
      </c>
      <c r="G49" s="10" t="s">
        <v>226</v>
      </c>
      <c r="H49" s="9" t="s">
        <v>222</v>
      </c>
      <c r="I49" s="10" t="s">
        <v>53</v>
      </c>
      <c r="J49" s="9">
        <v>1</v>
      </c>
      <c r="K49" s="14"/>
    </row>
    <row r="50" spans="1:11" ht="24">
      <c r="A50" s="2"/>
      <c r="B50" s="7">
        <f t="shared" si="1"/>
        <v>48</v>
      </c>
      <c r="C50" s="11" t="s">
        <v>212</v>
      </c>
      <c r="D50" s="12" t="s">
        <v>227</v>
      </c>
      <c r="E50" s="13" t="s">
        <v>228</v>
      </c>
      <c r="F50" s="12" t="s">
        <v>215</v>
      </c>
      <c r="G50" s="13" t="s">
        <v>229</v>
      </c>
      <c r="H50" s="12" t="s">
        <v>230</v>
      </c>
      <c r="I50" s="10" t="s">
        <v>53</v>
      </c>
      <c r="J50" s="12">
        <v>1</v>
      </c>
      <c r="K50" s="15"/>
    </row>
    <row r="51" spans="1:11">
      <c r="A51" s="2"/>
      <c r="B51" s="7">
        <f t="shared" si="1"/>
        <v>49</v>
      </c>
      <c r="C51" s="8" t="s">
        <v>212</v>
      </c>
      <c r="D51" s="9" t="s">
        <v>231</v>
      </c>
      <c r="E51" s="10" t="s">
        <v>232</v>
      </c>
      <c r="F51" s="9" t="s">
        <v>233</v>
      </c>
      <c r="G51" s="10" t="s">
        <v>234</v>
      </c>
      <c r="H51" s="9" t="s">
        <v>222</v>
      </c>
      <c r="I51" s="10" t="s">
        <v>53</v>
      </c>
      <c r="J51" s="9">
        <v>1</v>
      </c>
      <c r="K51" s="14"/>
    </row>
    <row r="52" spans="1:11">
      <c r="A52" s="2"/>
      <c r="B52" s="7">
        <f t="shared" si="1"/>
        <v>50</v>
      </c>
      <c r="C52" s="11" t="s">
        <v>235</v>
      </c>
      <c r="D52" s="12" t="s">
        <v>236</v>
      </c>
      <c r="E52" s="13" t="s">
        <v>237</v>
      </c>
      <c r="F52" s="16" t="s">
        <v>260</v>
      </c>
      <c r="G52" s="17" t="s">
        <v>238</v>
      </c>
      <c r="H52" s="12" t="s">
        <v>239</v>
      </c>
      <c r="I52" s="10" t="s">
        <v>53</v>
      </c>
      <c r="J52" s="12">
        <v>1</v>
      </c>
      <c r="K52" s="15"/>
    </row>
    <row r="53" spans="1:11">
      <c r="A53" s="2"/>
      <c r="B53" s="7">
        <f t="shared" si="1"/>
        <v>51</v>
      </c>
      <c r="C53" s="8" t="s">
        <v>212</v>
      </c>
      <c r="D53" s="9" t="s">
        <v>240</v>
      </c>
      <c r="E53" s="10" t="s">
        <v>241</v>
      </c>
      <c r="F53" s="9" t="s">
        <v>137</v>
      </c>
      <c r="G53" s="10" t="s">
        <v>242</v>
      </c>
      <c r="H53" s="9" t="s">
        <v>243</v>
      </c>
      <c r="I53" s="10" t="s">
        <v>53</v>
      </c>
      <c r="J53" s="9">
        <v>1</v>
      </c>
      <c r="K53" s="14"/>
    </row>
    <row r="54" spans="1:11">
      <c r="A54" s="2"/>
      <c r="B54" s="7">
        <f t="shared" si="1"/>
        <v>52</v>
      </c>
      <c r="C54" s="11" t="s">
        <v>212</v>
      </c>
      <c r="D54" s="12" t="s">
        <v>244</v>
      </c>
      <c r="E54" s="13" t="s">
        <v>245</v>
      </c>
      <c r="F54" s="12" t="s">
        <v>246</v>
      </c>
      <c r="G54" s="13" t="s">
        <v>247</v>
      </c>
      <c r="H54" s="12" t="s">
        <v>243</v>
      </c>
      <c r="I54" s="10" t="s">
        <v>53</v>
      </c>
      <c r="J54" s="12">
        <v>1</v>
      </c>
      <c r="K54" s="15"/>
    </row>
    <row r="55" spans="1:11">
      <c r="A55" s="2"/>
      <c r="B55" s="7">
        <f t="shared" si="1"/>
        <v>53</v>
      </c>
      <c r="C55" s="8" t="s">
        <v>248</v>
      </c>
      <c r="D55" s="9" t="s">
        <v>249</v>
      </c>
      <c r="E55" s="10" t="s">
        <v>250</v>
      </c>
      <c r="F55" s="9" t="s">
        <v>251</v>
      </c>
      <c r="G55" s="10" t="s">
        <v>252</v>
      </c>
      <c r="H55" s="9" t="s">
        <v>243</v>
      </c>
      <c r="I55" s="10" t="s">
        <v>53</v>
      </c>
      <c r="J55" s="9">
        <v>1</v>
      </c>
      <c r="K55" s="14"/>
    </row>
    <row r="56" spans="1:11">
      <c r="A56" s="2"/>
      <c r="B56" s="7">
        <f t="shared" si="1"/>
        <v>54</v>
      </c>
      <c r="C56" s="11" t="s">
        <v>253</v>
      </c>
      <c r="D56" s="12" t="s">
        <v>254</v>
      </c>
      <c r="E56" s="13" t="s">
        <v>255</v>
      </c>
      <c r="F56" s="12" t="s">
        <v>256</v>
      </c>
      <c r="G56" s="13" t="s">
        <v>257</v>
      </c>
      <c r="H56" s="12" t="s">
        <v>258</v>
      </c>
      <c r="I56" s="10" t="s">
        <v>53</v>
      </c>
      <c r="J56" s="12">
        <v>1</v>
      </c>
      <c r="K56" s="12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MarsVirgo</cp:lastModifiedBy>
  <dcterms:created xsi:type="dcterms:W3CDTF">2019-12-12T10:34:00Z</dcterms:created>
  <dcterms:modified xsi:type="dcterms:W3CDTF">2024-08-05T14:17:43Z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B84B4695C4F142E58809D61A9512BAA5_13</vt:lpwstr>
  </property>
  <property fmtid="{D5CDD505-2E9C-101B-9397-08002B2CF9AE}" pid="3" name="KSOProductBuildVer">
    <vt:lpwstr>1033-12.2.0.17153</vt:lpwstr>
  </property>
</Properties>
</file>